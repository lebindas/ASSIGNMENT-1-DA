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BIN\Downloads\"/>
    </mc:Choice>
  </mc:AlternateContent>
  <xr:revisionPtr revIDLastSave="0" documentId="13_ncr:1_{A157B394-D0AB-48AD-9FBA-E98C85661A27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Instructions" sheetId="1" r:id="rId1"/>
    <sheet name="Dataset" sheetId="2" r:id="rId2"/>
    <sheet name="ASSIGNMENT-SET 1" sheetId="5" r:id="rId3"/>
    <sheet name="ASSIGNMENT-SET 2" sheetId="6" r:id="rId4"/>
    <sheet name="ASSIGNMENT-SET 3" sheetId="7" r:id="rId5"/>
  </sheets>
  <calcPr calcId="191029"/>
  <extLs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N2" i="6" l="1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L3" i="7"/>
  <c r="I3" i="7"/>
  <c r="K2" i="6"/>
  <c r="I6" i="5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" i="6"/>
  <c r="I7" i="5"/>
  <c r="I4" i="5"/>
  <c r="I3" i="5"/>
  <c r="I2" i="5"/>
</calcChain>
</file>

<file path=xl/sharedStrings.xml><?xml version="1.0" encoding="utf-8"?>
<sst xmlns="http://schemas.openxmlformats.org/spreadsheetml/2006/main" count="706" uniqueCount="125">
  <si>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</si>
  <si>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</si>
  <si>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</si>
  <si>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</si>
  <si>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</si>
  <si>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</si>
  <si>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</si>
  <si>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</si>
  <si>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</si>
  <si>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</si>
  <si>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</si>
  <si>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</si>
  <si>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</si>
  <si>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</si>
  <si>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</si>
  <si>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</si>
  <si>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</si>
  <si>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</si>
  <si>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</si>
  <si>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</si>
  <si>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</si>
  <si>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</si>
  <si>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</si>
  <si>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</si>
  <si>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</si>
  <si>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</si>
  <si>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</si>
  <si>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</si>
  <si>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</si>
  <si>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</si>
  <si>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</si>
  <si>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</si>
  <si>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</si>
  <si>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</si>
  <si>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</si>
  <si>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</si>
  <si>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</si>
  <si>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</si>
  <si>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</si>
  <si>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</si>
  <si>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</si>
  <si>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</si>
  <si>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</si>
  <si>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</si>
  <si>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</si>
  <si>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</si>
  <si>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</si>
  <si>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</si>
  <si>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</si>
  <si>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</si>
  <si>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</si>
  <si>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</si>
  <si>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</si>
  <si>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</si>
  <si>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</si>
  <si>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</si>
  <si>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</si>
  <si>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</si>
  <si>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</si>
  <si>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</si>
  <si>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</si>
  <si>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</si>
  <si>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</si>
  <si>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</si>
  <si>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</si>
  <si>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</si>
  <si>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</si>
  <si>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</si>
  <si>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</si>
  <si>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</si>
  <si>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</si>
  <si>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</si>
  <si>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</si>
  <si>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</si>
  <si>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</si>
  <si>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</si>
  <si>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</si>
  <si>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</si>
  <si>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</si>
  <si>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</si>
  <si>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</si>
  <si>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</si>
  <si>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</si>
  <si>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</si>
  <si>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</si>
  <si>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</si>
  <si>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</si>
  <si>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</si>
  <si>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</si>
  <si>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</si>
  <si>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</si>
  <si>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</si>
  <si>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</si>
  <si>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</si>
  <si>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</si>
  <si>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</si>
  <si>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</si>
  <si>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</si>
  <si>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</si>
  <si>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</si>
  <si>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</si>
  <si>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</si>
  <si>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</si>
  <si>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</si>
  <si>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</si>
  <si>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</si>
  <si>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</si>
  <si>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</si>
  <si>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</si>
  <si>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</si>
  <si>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 xml:space="preserve">SUM - TOTAL SUM OF ALL PRODUCTS - </t>
  </si>
  <si>
    <t>COUNT - TOTALCOUNT OF PRODUCTS</t>
  </si>
  <si>
    <t>AVERAGE - AVERAGE PRICE OF ALL PRODUCTS</t>
  </si>
  <si>
    <t>MIN- MINIMUM PRICE</t>
  </si>
  <si>
    <t>MAX- MAXIMUM PRICE</t>
  </si>
  <si>
    <t>Price Range</t>
  </si>
  <si>
    <t>IF FUNCTION</t>
  </si>
  <si>
    <t>SUMIF FUNCTION</t>
  </si>
  <si>
    <t>COUNTIF FUNCTION</t>
  </si>
  <si>
    <t>LEFT</t>
  </si>
  <si>
    <t>RIGHT</t>
  </si>
  <si>
    <t>MID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</si>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</sst>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sz val="12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rgb="FF4DD0E1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6" fillId="4" borderId="0" xfId="0" applyFont="1" applyFill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0" fillId="5" borderId="1" xfId="0" applyFill="1" applyBorder="1"/>
    <xf numFmtId="0" fontId="0" fillId="0" borderId="1" xfId="0" applyBorder="1" applyAlignment="1">
      <alignment horizontal="right" vertical="center"/>
    </xf>
    <xf numFmtId="0" fontId="0" fillId="6" borderId="1" xfId="0" applyFill="1" applyBorder="1" applyAlignment="1">
      <alignment vertical="center"/>
    </xf>
    <xf numFmtId="0" fontId="5" fillId="7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7" fillId="0" borderId="0" xfId="0" applyFont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>
      <selection activeCell="G6" sqref="G6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zoomScale="139" workbookViewId="0">
      <selection activeCell="I14" sqref="I14"/>
    </sheetView>
  </sheetViews>
  <sheetFormatPr defaultColWidth="12.6640625" defaultRowHeight="15" customHeight="1" x14ac:dyDescent="0.25"/>
  <cols>
    <col min="1" max="1" width="12.6640625" customWidth="1"/>
    <col min="2" max="2" width="14.109375" customWidth="1"/>
    <col min="3" max="6" width="12.6640625" customWidth="1"/>
  </cols>
  <sheetData>
    <row r="1" spans="1:7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7" ht="15.75" customHeight="1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/>
    </row>
    <row r="3" spans="1:7" ht="15.75" customHeight="1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/>
    </row>
    <row r="4" spans="1:7" ht="15.75" customHeight="1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/>
    </row>
    <row r="5" spans="1:7" ht="15.75" customHeight="1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/>
    </row>
    <row r="6" spans="1:7" ht="15.75" customHeight="1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/>
    </row>
    <row r="7" spans="1:7" ht="15.75" customHeight="1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/>
    </row>
    <row r="8" spans="1:7" ht="15.75" customHeight="1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/>
    </row>
    <row r="9" spans="1:7" ht="15.75" customHeight="1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/>
    </row>
    <row r="10" spans="1:7" ht="15.75" customHeight="1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/>
    </row>
    <row r="11" spans="1:7" ht="15.75" customHeight="1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/>
    </row>
    <row r="12" spans="1:7" ht="15.75" customHeight="1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/>
    </row>
    <row r="13" spans="1:7" ht="15.75" customHeight="1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/>
    </row>
    <row r="14" spans="1:7" ht="15.75" customHeight="1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/>
    </row>
    <row r="15" spans="1:7" ht="15.75" customHeight="1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/>
    </row>
    <row r="16" spans="1:7" ht="15.75" customHeight="1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/>
    </row>
    <row r="17" spans="1:7" ht="15.75" customHeight="1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/>
    </row>
    <row r="18" spans="1:7" ht="15.75" customHeight="1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/>
    </row>
    <row r="19" spans="1:7" ht="15.75" customHeight="1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/>
    </row>
    <row r="20" spans="1:7" ht="15.75" customHeight="1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/>
    </row>
    <row r="21" spans="1:7" ht="15.75" customHeight="1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/>
    </row>
    <row r="22" spans="1:7" ht="15.75" customHeight="1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/>
    </row>
    <row r="23" spans="1:7" ht="15.75" customHeight="1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/>
    </row>
    <row r="24" spans="1:7" ht="15.75" customHeight="1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/>
    </row>
    <row r="25" spans="1:7" ht="15.75" customHeight="1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9"/>
    </row>
    <row r="26" spans="1:7" ht="15.75" customHeight="1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/>
    </row>
    <row r="27" spans="1:7" ht="15.75" customHeight="1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/>
    </row>
    <row r="28" spans="1:7" ht="15.75" customHeight="1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/>
    </row>
    <row r="29" spans="1:7" ht="15.75" customHeight="1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9"/>
    </row>
    <row r="30" spans="1:7" ht="15.75" customHeight="1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/>
    </row>
    <row r="31" spans="1:7" ht="15.75" customHeight="1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/>
    </row>
    <row r="32" spans="1:7" ht="15.75" customHeight="1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/>
    </row>
    <row r="33" spans="1:7" ht="15.75" customHeight="1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/>
    </row>
    <row r="34" spans="1:7" ht="15.75" customHeight="1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/>
    </row>
    <row r="35" spans="1:7" ht="15.75" customHeight="1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6F8D2-F585-4600-8AA8-9EFADB46A481}">
  <sheetPr>
    <outlinePr summaryBelow="0" summaryRight="0"/>
  </sheetPr>
  <dimension ref="A1:L1000"/>
  <sheetViews>
    <sheetView workbookViewId="0">
      <selection activeCell="H13" sqref="H13"/>
    </sheetView>
  </sheetViews>
  <sheetFormatPr defaultColWidth="12.6640625" defaultRowHeight="15" customHeight="1" x14ac:dyDescent="0.25"/>
  <cols>
    <col min="1" max="1" width="12.6640625" style="10" customWidth="1"/>
    <col min="2" max="2" width="16.44140625" style="10" customWidth="1"/>
    <col min="3" max="5" width="12.6640625" style="10" customWidth="1"/>
    <col min="6" max="6" width="14.88671875" style="10" customWidth="1"/>
    <col min="7" max="7" width="12.6640625" style="10"/>
    <col min="8" max="8" width="44.33203125" style="10" bestFit="1" customWidth="1"/>
    <col min="9" max="9" width="18.44140625" style="10" customWidth="1"/>
    <col min="10" max="16384" width="12.6640625" style="10"/>
  </cols>
  <sheetData>
    <row r="1" spans="1:12" ht="21" customHeight="1" x14ac:dyDescent="0.25">
      <c r="A1" s="13" t="s">
        <v>17</v>
      </c>
      <c r="B1" s="13" t="s">
        <v>18</v>
      </c>
      <c r="C1" s="13" t="s">
        <v>19</v>
      </c>
      <c r="D1" s="13" t="s">
        <v>20</v>
      </c>
      <c r="E1" s="13" t="s">
        <v>21</v>
      </c>
      <c r="F1" s="13" t="s">
        <v>22</v>
      </c>
      <c r="G1"/>
      <c r="H1"/>
      <c r="I1"/>
      <c r="J1"/>
      <c r="K1"/>
      <c r="L1"/>
    </row>
    <row r="2" spans="1:12" ht="15.75" customHeight="1" x14ac:dyDescent="0.25">
      <c r="A2" s="15" t="s">
        <v>23</v>
      </c>
      <c r="B2" s="15" t="s">
        <v>24</v>
      </c>
      <c r="C2" s="15" t="s">
        <v>25</v>
      </c>
      <c r="D2" s="15">
        <v>1000</v>
      </c>
      <c r="E2" s="15">
        <v>30</v>
      </c>
      <c r="F2" s="15" t="s">
        <v>26</v>
      </c>
      <c r="G2"/>
      <c r="H2" s="17" t="s">
        <v>110</v>
      </c>
      <c r="I2" s="18">
        <f>SUM(D2:D35)</f>
        <v>10100</v>
      </c>
      <c r="J2"/>
      <c r="K2"/>
      <c r="L2"/>
    </row>
    <row r="3" spans="1:12" ht="15.75" customHeight="1" x14ac:dyDescent="0.25">
      <c r="A3" s="16" t="s">
        <v>27</v>
      </c>
      <c r="B3" s="16" t="s">
        <v>28</v>
      </c>
      <c r="C3" s="16" t="s">
        <v>29</v>
      </c>
      <c r="D3" s="16">
        <v>80</v>
      </c>
      <c r="E3" s="16">
        <v>15</v>
      </c>
      <c r="F3" s="16" t="s">
        <v>30</v>
      </c>
      <c r="G3"/>
      <c r="H3" s="17" t="s">
        <v>111</v>
      </c>
      <c r="I3" s="18">
        <f>COUNTA(B2:B35)</f>
        <v>34</v>
      </c>
      <c r="J3"/>
      <c r="K3"/>
      <c r="L3"/>
    </row>
    <row r="4" spans="1:12" ht="15.75" customHeight="1" x14ac:dyDescent="0.25">
      <c r="A4" s="15" t="s">
        <v>31</v>
      </c>
      <c r="B4" s="15" t="s">
        <v>32</v>
      </c>
      <c r="C4" s="15" t="s">
        <v>33</v>
      </c>
      <c r="D4" s="15">
        <v>130</v>
      </c>
      <c r="E4" s="15">
        <v>40</v>
      </c>
      <c r="F4" s="15" t="s">
        <v>34</v>
      </c>
      <c r="G4"/>
      <c r="H4" s="17" t="s">
        <v>112</v>
      </c>
      <c r="I4" s="18">
        <f>AVERAGE(D2:D35)</f>
        <v>297.05882352941177</v>
      </c>
      <c r="J4"/>
      <c r="K4"/>
      <c r="L4"/>
    </row>
    <row r="5" spans="1:12" ht="15.75" customHeight="1" x14ac:dyDescent="0.25">
      <c r="A5" s="16" t="s">
        <v>35</v>
      </c>
      <c r="B5" s="16" t="s">
        <v>36</v>
      </c>
      <c r="C5" s="16" t="s">
        <v>37</v>
      </c>
      <c r="D5" s="16">
        <v>900</v>
      </c>
      <c r="E5" s="16">
        <v>25</v>
      </c>
      <c r="F5" s="16" t="s">
        <v>26</v>
      </c>
      <c r="G5"/>
      <c r="H5"/>
      <c r="I5"/>
      <c r="J5"/>
      <c r="K5"/>
      <c r="L5"/>
    </row>
    <row r="6" spans="1:12" ht="15.75" customHeight="1" x14ac:dyDescent="0.25">
      <c r="A6" s="15" t="s">
        <v>38</v>
      </c>
      <c r="B6" s="15" t="s">
        <v>39</v>
      </c>
      <c r="C6" s="15" t="s">
        <v>40</v>
      </c>
      <c r="D6" s="15">
        <v>70</v>
      </c>
      <c r="E6" s="15">
        <v>20</v>
      </c>
      <c r="F6" s="15" t="s">
        <v>41</v>
      </c>
      <c r="G6"/>
      <c r="H6" s="17" t="s">
        <v>113</v>
      </c>
      <c r="I6" s="19">
        <f>MIN(D2:D35)</f>
        <v>30</v>
      </c>
      <c r="J6"/>
      <c r="K6"/>
      <c r="L6"/>
    </row>
    <row r="7" spans="1:12" ht="15.75" customHeight="1" x14ac:dyDescent="0.25">
      <c r="A7" s="16" t="s">
        <v>42</v>
      </c>
      <c r="B7" s="16" t="s">
        <v>43</v>
      </c>
      <c r="C7" s="16" t="s">
        <v>44</v>
      </c>
      <c r="D7" s="16">
        <v>200</v>
      </c>
      <c r="E7" s="16">
        <v>45</v>
      </c>
      <c r="F7" s="16" t="s">
        <v>26</v>
      </c>
      <c r="G7"/>
      <c r="H7" s="17" t="s">
        <v>114</v>
      </c>
      <c r="I7" s="19">
        <f>MAX(D2:D35)</f>
        <v>1000</v>
      </c>
      <c r="J7"/>
      <c r="K7"/>
      <c r="L7"/>
    </row>
    <row r="8" spans="1:12" ht="15.75" customHeight="1" x14ac:dyDescent="0.25">
      <c r="A8" s="15" t="s">
        <v>45</v>
      </c>
      <c r="B8" s="15" t="s">
        <v>46</v>
      </c>
      <c r="C8" s="15" t="s">
        <v>47</v>
      </c>
      <c r="D8" s="15">
        <v>30</v>
      </c>
      <c r="E8" s="15">
        <v>5</v>
      </c>
      <c r="F8" s="15" t="s">
        <v>30</v>
      </c>
      <c r="G8"/>
      <c r="H8"/>
      <c r="I8"/>
      <c r="J8"/>
      <c r="K8"/>
      <c r="L8"/>
    </row>
    <row r="9" spans="1:12" ht="15.75" customHeight="1" x14ac:dyDescent="0.25">
      <c r="A9" s="16" t="s">
        <v>48</v>
      </c>
      <c r="B9" s="16" t="s">
        <v>49</v>
      </c>
      <c r="C9" s="16" t="s">
        <v>50</v>
      </c>
      <c r="D9" s="16">
        <v>90</v>
      </c>
      <c r="E9" s="16">
        <v>35</v>
      </c>
      <c r="F9" s="16" t="s">
        <v>34</v>
      </c>
      <c r="G9"/>
      <c r="H9"/>
      <c r="I9"/>
      <c r="J9"/>
      <c r="K9"/>
      <c r="L9"/>
    </row>
    <row r="10" spans="1:12" ht="15.75" customHeight="1" x14ac:dyDescent="0.25">
      <c r="A10" s="15" t="s">
        <v>51</v>
      </c>
      <c r="B10" s="15" t="s">
        <v>52</v>
      </c>
      <c r="C10" s="15" t="s">
        <v>53</v>
      </c>
      <c r="D10" s="15">
        <v>500</v>
      </c>
      <c r="E10" s="15">
        <v>50</v>
      </c>
      <c r="F10" s="15" t="s">
        <v>26</v>
      </c>
      <c r="G10"/>
      <c r="H10"/>
      <c r="I10"/>
      <c r="J10"/>
      <c r="K10"/>
      <c r="L10"/>
    </row>
    <row r="11" spans="1:12" ht="15.75" customHeight="1" x14ac:dyDescent="0.25">
      <c r="A11" s="16" t="s">
        <v>54</v>
      </c>
      <c r="B11" s="16" t="s">
        <v>55</v>
      </c>
      <c r="C11" s="16" t="s">
        <v>56</v>
      </c>
      <c r="D11" s="16">
        <v>130</v>
      </c>
      <c r="E11" s="16">
        <v>10</v>
      </c>
      <c r="F11" s="16" t="s">
        <v>41</v>
      </c>
      <c r="G11" s="11"/>
    </row>
    <row r="12" spans="1:12" ht="15.75" customHeight="1" x14ac:dyDescent="0.25">
      <c r="A12" s="15" t="s">
        <v>57</v>
      </c>
      <c r="B12" s="15" t="s">
        <v>24</v>
      </c>
      <c r="C12" s="15" t="s">
        <v>58</v>
      </c>
      <c r="D12" s="15">
        <v>950</v>
      </c>
      <c r="E12" s="15">
        <v>25</v>
      </c>
      <c r="F12" s="15" t="s">
        <v>26</v>
      </c>
      <c r="G12" s="11"/>
    </row>
    <row r="13" spans="1:12" ht="15.75" customHeight="1" x14ac:dyDescent="0.25">
      <c r="A13" s="16" t="s">
        <v>59</v>
      </c>
      <c r="B13" s="16" t="s">
        <v>28</v>
      </c>
      <c r="C13" s="16" t="s">
        <v>47</v>
      </c>
      <c r="D13" s="16">
        <v>90</v>
      </c>
      <c r="E13" s="16">
        <v>40</v>
      </c>
      <c r="F13" s="16" t="s">
        <v>30</v>
      </c>
      <c r="G13" s="11"/>
    </row>
    <row r="14" spans="1:12" ht="15.75" customHeight="1" x14ac:dyDescent="0.25">
      <c r="A14" s="15" t="s">
        <v>60</v>
      </c>
      <c r="B14" s="15" t="s">
        <v>32</v>
      </c>
      <c r="C14" s="15" t="s">
        <v>61</v>
      </c>
      <c r="D14" s="15">
        <v>120</v>
      </c>
      <c r="E14" s="15">
        <v>35</v>
      </c>
      <c r="F14" s="15" t="s">
        <v>34</v>
      </c>
      <c r="G14" s="11"/>
    </row>
    <row r="15" spans="1:12" ht="15.75" customHeight="1" x14ac:dyDescent="0.25">
      <c r="A15" s="16" t="s">
        <v>62</v>
      </c>
      <c r="B15" s="16" t="s">
        <v>63</v>
      </c>
      <c r="C15" s="16" t="s">
        <v>64</v>
      </c>
      <c r="D15" s="16">
        <v>150</v>
      </c>
      <c r="E15" s="16">
        <v>15</v>
      </c>
      <c r="F15" s="16" t="s">
        <v>26</v>
      </c>
      <c r="G15" s="11"/>
    </row>
    <row r="16" spans="1:12" ht="15.75" customHeight="1" x14ac:dyDescent="0.25">
      <c r="A16" s="15" t="s">
        <v>65</v>
      </c>
      <c r="B16" s="15" t="s">
        <v>43</v>
      </c>
      <c r="C16" s="15" t="s">
        <v>66</v>
      </c>
      <c r="D16" s="15">
        <v>250</v>
      </c>
      <c r="E16" s="15">
        <v>20</v>
      </c>
      <c r="F16" s="15" t="s">
        <v>26</v>
      </c>
      <c r="G16" s="11"/>
    </row>
    <row r="17" spans="1:7" ht="15.75" customHeight="1" x14ac:dyDescent="0.25">
      <c r="A17" s="16" t="s">
        <v>67</v>
      </c>
      <c r="B17" s="16" t="s">
        <v>68</v>
      </c>
      <c r="C17" s="16" t="s">
        <v>69</v>
      </c>
      <c r="D17" s="16">
        <v>50</v>
      </c>
      <c r="E17" s="16">
        <v>35</v>
      </c>
      <c r="F17" s="16" t="s">
        <v>70</v>
      </c>
      <c r="G17" s="11"/>
    </row>
    <row r="18" spans="1:7" ht="15.75" customHeight="1" x14ac:dyDescent="0.25">
      <c r="A18" s="15" t="s">
        <v>71</v>
      </c>
      <c r="B18" s="15" t="s">
        <v>63</v>
      </c>
      <c r="C18" s="15" t="s">
        <v>72</v>
      </c>
      <c r="D18" s="15">
        <v>160</v>
      </c>
      <c r="E18" s="15">
        <v>15</v>
      </c>
      <c r="F18" s="15" t="s">
        <v>26</v>
      </c>
      <c r="G18" s="11"/>
    </row>
    <row r="19" spans="1:7" ht="15.75" customHeight="1" x14ac:dyDescent="0.25">
      <c r="A19" s="16" t="s">
        <v>73</v>
      </c>
      <c r="B19" s="16" t="s">
        <v>24</v>
      </c>
      <c r="C19" s="16" t="s">
        <v>74</v>
      </c>
      <c r="D19" s="16">
        <v>980</v>
      </c>
      <c r="E19" s="16">
        <v>10</v>
      </c>
      <c r="F19" s="16" t="s">
        <v>26</v>
      </c>
      <c r="G19" s="11"/>
    </row>
    <row r="20" spans="1:7" ht="15.75" customHeight="1" x14ac:dyDescent="0.25">
      <c r="A20" s="15" t="s">
        <v>75</v>
      </c>
      <c r="B20" s="15" t="s">
        <v>76</v>
      </c>
      <c r="C20" s="15" t="s">
        <v>77</v>
      </c>
      <c r="D20" s="15">
        <v>150</v>
      </c>
      <c r="E20" s="15">
        <v>15</v>
      </c>
      <c r="F20" s="15" t="s">
        <v>30</v>
      </c>
      <c r="G20" s="11"/>
    </row>
    <row r="21" spans="1:7" ht="15.75" customHeight="1" x14ac:dyDescent="0.25">
      <c r="A21" s="16" t="s">
        <v>78</v>
      </c>
      <c r="B21" s="16" t="s">
        <v>79</v>
      </c>
      <c r="C21" s="16" t="s">
        <v>80</v>
      </c>
      <c r="D21" s="16">
        <v>200</v>
      </c>
      <c r="E21" s="16">
        <v>10</v>
      </c>
      <c r="F21" s="16" t="s">
        <v>41</v>
      </c>
      <c r="G21" s="11"/>
    </row>
    <row r="22" spans="1:7" ht="15.75" customHeight="1" x14ac:dyDescent="0.25">
      <c r="A22" s="15" t="s">
        <v>81</v>
      </c>
      <c r="B22" s="15" t="s">
        <v>82</v>
      </c>
      <c r="C22" s="15" t="s">
        <v>83</v>
      </c>
      <c r="D22" s="15">
        <v>700</v>
      </c>
      <c r="E22" s="15">
        <v>50</v>
      </c>
      <c r="F22" s="15" t="s">
        <v>26</v>
      </c>
      <c r="G22" s="11"/>
    </row>
    <row r="23" spans="1:7" ht="15.75" customHeight="1" x14ac:dyDescent="0.25">
      <c r="A23" s="16" t="s">
        <v>84</v>
      </c>
      <c r="B23" s="16" t="s">
        <v>85</v>
      </c>
      <c r="C23" s="16" t="s">
        <v>86</v>
      </c>
      <c r="D23" s="16">
        <v>80</v>
      </c>
      <c r="E23" s="16">
        <v>20</v>
      </c>
      <c r="F23" s="16" t="s">
        <v>34</v>
      </c>
      <c r="G23" s="11"/>
    </row>
    <row r="24" spans="1:7" ht="15.75" customHeight="1" x14ac:dyDescent="0.25">
      <c r="A24" s="15" t="s">
        <v>87</v>
      </c>
      <c r="B24" s="15" t="s">
        <v>88</v>
      </c>
      <c r="C24" s="15" t="s">
        <v>89</v>
      </c>
      <c r="D24" s="15">
        <v>150</v>
      </c>
      <c r="E24" s="15">
        <v>30</v>
      </c>
      <c r="F24" s="15" t="s">
        <v>26</v>
      </c>
      <c r="G24" s="11"/>
    </row>
    <row r="25" spans="1:7" ht="15.75" customHeight="1" x14ac:dyDescent="0.25">
      <c r="A25" s="16" t="s">
        <v>67</v>
      </c>
      <c r="B25" s="16" t="s">
        <v>68</v>
      </c>
      <c r="C25" s="16" t="s">
        <v>69</v>
      </c>
      <c r="D25" s="16">
        <v>50</v>
      </c>
      <c r="E25" s="16">
        <v>35</v>
      </c>
      <c r="F25" s="16" t="s">
        <v>70</v>
      </c>
      <c r="G25" s="12"/>
    </row>
    <row r="26" spans="1:7" ht="15.75" customHeight="1" x14ac:dyDescent="0.25">
      <c r="A26" s="15" t="s">
        <v>90</v>
      </c>
      <c r="B26" s="15" t="s">
        <v>36</v>
      </c>
      <c r="C26" s="15" t="s">
        <v>91</v>
      </c>
      <c r="D26" s="15">
        <v>800</v>
      </c>
      <c r="E26" s="15">
        <v>45</v>
      </c>
      <c r="F26" s="15" t="s">
        <v>26</v>
      </c>
      <c r="G26" s="11"/>
    </row>
    <row r="27" spans="1:7" ht="15.75" customHeight="1" x14ac:dyDescent="0.25">
      <c r="A27" s="16" t="s">
        <v>92</v>
      </c>
      <c r="B27" s="16" t="s">
        <v>76</v>
      </c>
      <c r="C27" s="16" t="s">
        <v>93</v>
      </c>
      <c r="D27" s="16">
        <v>130</v>
      </c>
      <c r="E27" s="16">
        <v>25</v>
      </c>
      <c r="F27" s="16" t="s">
        <v>30</v>
      </c>
      <c r="G27" s="11"/>
    </row>
    <row r="28" spans="1:7" ht="15.75" customHeight="1" x14ac:dyDescent="0.25">
      <c r="A28" s="15" t="s">
        <v>94</v>
      </c>
      <c r="B28" s="15" t="s">
        <v>49</v>
      </c>
      <c r="C28" s="15" t="s">
        <v>95</v>
      </c>
      <c r="D28" s="15">
        <v>400</v>
      </c>
      <c r="E28" s="15">
        <v>40</v>
      </c>
      <c r="F28" s="15" t="s">
        <v>34</v>
      </c>
      <c r="G28" s="11"/>
    </row>
    <row r="29" spans="1:7" ht="15.75" customHeight="1" x14ac:dyDescent="0.25">
      <c r="A29" s="16" t="s">
        <v>65</v>
      </c>
      <c r="B29" s="16" t="s">
        <v>43</v>
      </c>
      <c r="C29" s="16" t="s">
        <v>66</v>
      </c>
      <c r="D29" s="16">
        <v>230</v>
      </c>
      <c r="E29" s="16">
        <v>20</v>
      </c>
      <c r="F29" s="16" t="s">
        <v>26</v>
      </c>
      <c r="G29" s="12"/>
    </row>
    <row r="30" spans="1:7" ht="15.75" customHeight="1" x14ac:dyDescent="0.25">
      <c r="A30" s="15" t="s">
        <v>96</v>
      </c>
      <c r="B30" s="15" t="s">
        <v>97</v>
      </c>
      <c r="C30" s="15" t="s">
        <v>98</v>
      </c>
      <c r="D30" s="15">
        <v>60</v>
      </c>
      <c r="E30" s="15">
        <v>30</v>
      </c>
      <c r="F30" s="15" t="s">
        <v>30</v>
      </c>
      <c r="G30" s="11"/>
    </row>
    <row r="31" spans="1:7" ht="15.75" customHeight="1" x14ac:dyDescent="0.25">
      <c r="A31" s="16" t="s">
        <v>99</v>
      </c>
      <c r="B31" s="16" t="s">
        <v>100</v>
      </c>
      <c r="C31" s="16" t="s">
        <v>101</v>
      </c>
      <c r="D31" s="16">
        <v>40</v>
      </c>
      <c r="E31" s="16">
        <v>10</v>
      </c>
      <c r="F31" s="16" t="s">
        <v>34</v>
      </c>
      <c r="G31" s="11"/>
    </row>
    <row r="32" spans="1:7" ht="15.75" customHeight="1" x14ac:dyDescent="0.25">
      <c r="A32" s="15" t="s">
        <v>102</v>
      </c>
      <c r="B32" s="15" t="s">
        <v>88</v>
      </c>
      <c r="C32" s="15" t="s">
        <v>103</v>
      </c>
      <c r="D32" s="15">
        <v>130</v>
      </c>
      <c r="E32" s="15">
        <v>5</v>
      </c>
      <c r="F32" s="15" t="s">
        <v>26</v>
      </c>
      <c r="G32" s="11"/>
    </row>
    <row r="33" spans="1:7" ht="15.75" customHeight="1" x14ac:dyDescent="0.25">
      <c r="A33" s="16" t="s">
        <v>104</v>
      </c>
      <c r="B33" s="16" t="s">
        <v>105</v>
      </c>
      <c r="C33" s="16" t="s">
        <v>106</v>
      </c>
      <c r="D33" s="16">
        <v>50</v>
      </c>
      <c r="E33" s="16">
        <v>50</v>
      </c>
      <c r="F33" s="16" t="s">
        <v>30</v>
      </c>
      <c r="G33" s="11"/>
    </row>
    <row r="34" spans="1:7" ht="15.75" customHeight="1" x14ac:dyDescent="0.25">
      <c r="A34" s="15" t="s">
        <v>57</v>
      </c>
      <c r="B34" s="15" t="s">
        <v>24</v>
      </c>
      <c r="C34" s="15" t="s">
        <v>58</v>
      </c>
      <c r="D34" s="15">
        <v>950</v>
      </c>
      <c r="E34" s="15">
        <v>25</v>
      </c>
      <c r="F34" s="15" t="s">
        <v>26</v>
      </c>
      <c r="G34" s="11"/>
    </row>
    <row r="35" spans="1:7" ht="15.75" customHeight="1" x14ac:dyDescent="0.25">
      <c r="A35" s="16" t="s">
        <v>107</v>
      </c>
      <c r="B35" s="16" t="s">
        <v>108</v>
      </c>
      <c r="C35" s="16" t="s">
        <v>109</v>
      </c>
      <c r="D35" s="16">
        <v>100</v>
      </c>
      <c r="E35" s="16">
        <v>20</v>
      </c>
      <c r="F35" s="16" t="s">
        <v>70</v>
      </c>
      <c r="G35" s="11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9AC83-F0D2-4023-BD1A-A0AA1AAC2DE0}">
  <sheetPr>
    <outlinePr summaryBelow="0" summaryRight="0"/>
  </sheetPr>
  <dimension ref="A1:O1000"/>
  <sheetViews>
    <sheetView workbookViewId="0">
      <selection activeCell="O9" sqref="O9"/>
    </sheetView>
  </sheetViews>
  <sheetFormatPr defaultColWidth="12.6640625" defaultRowHeight="15" customHeight="1" x14ac:dyDescent="0.25"/>
  <cols>
    <col min="1" max="1" width="12.6640625" style="10" customWidth="1"/>
    <col min="2" max="2" width="16.44140625" style="10" customWidth="1"/>
    <col min="3" max="5" width="12.6640625" style="10" customWidth="1"/>
    <col min="6" max="6" width="14.88671875" style="10" customWidth="1"/>
    <col min="7" max="7" width="12.6640625" style="10"/>
    <col min="8" max="8" width="15" style="10" customWidth="1"/>
    <col min="9" max="9" width="18.77734375" style="10" customWidth="1"/>
    <col min="10" max="10" width="7.6640625" style="10" customWidth="1"/>
    <col min="11" max="12" width="12.6640625" style="10"/>
    <col min="13" max="13" width="7.33203125" style="10" customWidth="1"/>
    <col min="14" max="16384" width="12.6640625" style="10"/>
  </cols>
  <sheetData>
    <row r="1" spans="1:15" ht="21" customHeight="1" x14ac:dyDescent="0.25">
      <c r="A1" s="13" t="s">
        <v>17</v>
      </c>
      <c r="B1" s="13" t="s">
        <v>18</v>
      </c>
      <c r="C1" s="13" t="s">
        <v>19</v>
      </c>
      <c r="D1" s="13" t="s">
        <v>20</v>
      </c>
      <c r="E1" s="13" t="s">
        <v>21</v>
      </c>
      <c r="F1" s="13" t="s">
        <v>22</v>
      </c>
      <c r="G1" s="6"/>
      <c r="H1" s="23" t="s">
        <v>116</v>
      </c>
      <c r="I1" s="23"/>
      <c r="K1" s="23" t="s">
        <v>117</v>
      </c>
      <c r="L1" s="23"/>
      <c r="N1" s="23" t="s">
        <v>118</v>
      </c>
      <c r="O1" s="23"/>
    </row>
    <row r="2" spans="1:15" ht="15.75" customHeight="1" x14ac:dyDescent="0.25">
      <c r="A2" s="15" t="s">
        <v>23</v>
      </c>
      <c r="B2" s="15" t="s">
        <v>24</v>
      </c>
      <c r="C2" s="15" t="s">
        <v>25</v>
      </c>
      <c r="D2" s="15">
        <v>1000</v>
      </c>
      <c r="E2" s="15">
        <v>30</v>
      </c>
      <c r="F2" s="15" t="s">
        <v>26</v>
      </c>
      <c r="G2" s="11"/>
      <c r="H2" s="20" t="s">
        <v>20</v>
      </c>
      <c r="I2" s="20" t="s">
        <v>115</v>
      </c>
      <c r="J2"/>
      <c r="K2" s="24">
        <f>SUMIF(F2:F35,"ELECTRONICS",D2:D35)</f>
        <v>8050</v>
      </c>
      <c r="L2" s="24"/>
      <c r="M2" s="22"/>
      <c r="N2" s="25">
        <f>COUNTIF(D2:D35,"&lt;100")</f>
        <v>11</v>
      </c>
      <c r="O2" s="25"/>
    </row>
    <row r="3" spans="1:15" ht="15.75" customHeight="1" x14ac:dyDescent="0.25">
      <c r="A3" s="16" t="s">
        <v>27</v>
      </c>
      <c r="B3" s="16" t="s">
        <v>28</v>
      </c>
      <c r="C3" s="16" t="s">
        <v>29</v>
      </c>
      <c r="D3" s="16">
        <v>80</v>
      </c>
      <c r="E3" s="16">
        <v>15</v>
      </c>
      <c r="F3" s="16" t="s">
        <v>30</v>
      </c>
      <c r="G3" s="11"/>
      <c r="H3" s="15">
        <v>1000</v>
      </c>
      <c r="I3" s="15" t="str">
        <f>IF(D2&gt;=500,"HIGH PRICE","STANDARD PRICE")</f>
        <v>HIGH PRICE</v>
      </c>
      <c r="J3"/>
      <c r="K3" s="24"/>
      <c r="L3" s="24"/>
      <c r="M3" s="22"/>
      <c r="N3" s="25"/>
      <c r="O3" s="25"/>
    </row>
    <row r="4" spans="1:15" ht="15.75" customHeight="1" x14ac:dyDescent="0.25">
      <c r="A4" s="15" t="s">
        <v>31</v>
      </c>
      <c r="B4" s="15" t="s">
        <v>32</v>
      </c>
      <c r="C4" s="15" t="s">
        <v>33</v>
      </c>
      <c r="D4" s="15">
        <v>130</v>
      </c>
      <c r="E4" s="15">
        <v>40</v>
      </c>
      <c r="F4" s="15" t="s">
        <v>34</v>
      </c>
      <c r="G4" s="11"/>
      <c r="H4" s="16">
        <v>80</v>
      </c>
      <c r="I4" s="15" t="str">
        <f t="shared" ref="I4:I36" si="0">IF(D3&gt;=500,"HIGH PRICE","STANDARD PRICE")</f>
        <v>STANDARD PRICE</v>
      </c>
      <c r="J4"/>
      <c r="K4"/>
      <c r="L4"/>
    </row>
    <row r="5" spans="1:15" ht="15.75" customHeight="1" x14ac:dyDescent="0.25">
      <c r="A5" s="16" t="s">
        <v>35</v>
      </c>
      <c r="B5" s="16" t="s">
        <v>36</v>
      </c>
      <c r="C5" s="16" t="s">
        <v>37</v>
      </c>
      <c r="D5" s="16">
        <v>900</v>
      </c>
      <c r="E5" s="16">
        <v>25</v>
      </c>
      <c r="F5" s="16" t="s">
        <v>26</v>
      </c>
      <c r="G5" s="11"/>
      <c r="H5" s="15">
        <v>130</v>
      </c>
      <c r="I5" s="15" t="str">
        <f t="shared" si="0"/>
        <v>STANDARD PRICE</v>
      </c>
      <c r="J5"/>
      <c r="K5"/>
      <c r="L5"/>
    </row>
    <row r="6" spans="1:15" ht="15.75" customHeight="1" x14ac:dyDescent="0.25">
      <c r="A6" s="15" t="s">
        <v>38</v>
      </c>
      <c r="B6" s="15" t="s">
        <v>39</v>
      </c>
      <c r="C6" s="15" t="s">
        <v>40</v>
      </c>
      <c r="D6" s="15">
        <v>70</v>
      </c>
      <c r="E6" s="15">
        <v>20</v>
      </c>
      <c r="F6" s="15" t="s">
        <v>41</v>
      </c>
      <c r="G6" s="11"/>
      <c r="H6" s="16">
        <v>900</v>
      </c>
      <c r="I6" s="15" t="str">
        <f t="shared" si="0"/>
        <v>HIGH PRICE</v>
      </c>
      <c r="J6"/>
      <c r="K6"/>
      <c r="L6"/>
    </row>
    <row r="7" spans="1:15" ht="15.75" customHeight="1" x14ac:dyDescent="0.25">
      <c r="A7" s="16" t="s">
        <v>42</v>
      </c>
      <c r="B7" s="16" t="s">
        <v>43</v>
      </c>
      <c r="C7" s="16" t="s">
        <v>44</v>
      </c>
      <c r="D7" s="16">
        <v>200</v>
      </c>
      <c r="E7" s="16">
        <v>45</v>
      </c>
      <c r="F7" s="16" t="s">
        <v>26</v>
      </c>
      <c r="G7" s="11"/>
      <c r="H7" s="15">
        <v>70</v>
      </c>
      <c r="I7" s="15" t="str">
        <f t="shared" si="0"/>
        <v>STANDARD PRICE</v>
      </c>
    </row>
    <row r="8" spans="1:15" ht="15.75" customHeight="1" x14ac:dyDescent="0.25">
      <c r="A8" s="15" t="s">
        <v>45</v>
      </c>
      <c r="B8" s="15" t="s">
        <v>46</v>
      </c>
      <c r="C8" s="15" t="s">
        <v>47</v>
      </c>
      <c r="D8" s="15">
        <v>30</v>
      </c>
      <c r="E8" s="15">
        <v>5</v>
      </c>
      <c r="F8" s="15" t="s">
        <v>30</v>
      </c>
      <c r="G8" s="11"/>
      <c r="H8" s="16">
        <v>200</v>
      </c>
      <c r="I8" s="15" t="str">
        <f t="shared" si="0"/>
        <v>STANDARD PRICE</v>
      </c>
    </row>
    <row r="9" spans="1:15" ht="15.75" customHeight="1" x14ac:dyDescent="0.25">
      <c r="A9" s="16" t="s">
        <v>48</v>
      </c>
      <c r="B9" s="16" t="s">
        <v>49</v>
      </c>
      <c r="C9" s="16" t="s">
        <v>50</v>
      </c>
      <c r="D9" s="16">
        <v>90</v>
      </c>
      <c r="E9" s="16">
        <v>35</v>
      </c>
      <c r="F9" s="16" t="s">
        <v>34</v>
      </c>
      <c r="G9" s="11"/>
      <c r="H9" s="15">
        <v>30</v>
      </c>
      <c r="I9" s="15" t="str">
        <f t="shared" si="0"/>
        <v>STANDARD PRICE</v>
      </c>
    </row>
    <row r="10" spans="1:15" ht="15.75" customHeight="1" x14ac:dyDescent="0.25">
      <c r="A10" s="15" t="s">
        <v>51</v>
      </c>
      <c r="B10" s="15" t="s">
        <v>52</v>
      </c>
      <c r="C10" s="15" t="s">
        <v>53</v>
      </c>
      <c r="D10" s="15">
        <v>500</v>
      </c>
      <c r="E10" s="15">
        <v>50</v>
      </c>
      <c r="F10" s="15" t="s">
        <v>26</v>
      </c>
      <c r="G10" s="11"/>
      <c r="H10" s="16">
        <v>90</v>
      </c>
      <c r="I10" s="15" t="str">
        <f t="shared" si="0"/>
        <v>STANDARD PRICE</v>
      </c>
    </row>
    <row r="11" spans="1:15" ht="15.75" customHeight="1" x14ac:dyDescent="0.25">
      <c r="A11" s="16" t="s">
        <v>54</v>
      </c>
      <c r="B11" s="16" t="s">
        <v>55</v>
      </c>
      <c r="C11" s="16" t="s">
        <v>56</v>
      </c>
      <c r="D11" s="16">
        <v>130</v>
      </c>
      <c r="E11" s="16">
        <v>10</v>
      </c>
      <c r="F11" s="16" t="s">
        <v>41</v>
      </c>
      <c r="G11" s="11"/>
      <c r="H11" s="15">
        <v>500</v>
      </c>
      <c r="I11" s="15" t="str">
        <f t="shared" si="0"/>
        <v>HIGH PRICE</v>
      </c>
    </row>
    <row r="12" spans="1:15" ht="15.75" customHeight="1" x14ac:dyDescent="0.25">
      <c r="A12" s="15" t="s">
        <v>57</v>
      </c>
      <c r="B12" s="15" t="s">
        <v>24</v>
      </c>
      <c r="C12" s="15" t="s">
        <v>58</v>
      </c>
      <c r="D12" s="15">
        <v>950</v>
      </c>
      <c r="E12" s="15">
        <v>25</v>
      </c>
      <c r="F12" s="15" t="s">
        <v>26</v>
      </c>
      <c r="G12" s="11"/>
      <c r="H12" s="16">
        <v>130</v>
      </c>
      <c r="I12" s="15" t="str">
        <f t="shared" si="0"/>
        <v>STANDARD PRICE</v>
      </c>
    </row>
    <row r="13" spans="1:15" ht="15.75" customHeight="1" x14ac:dyDescent="0.25">
      <c r="A13" s="16" t="s">
        <v>59</v>
      </c>
      <c r="B13" s="16" t="s">
        <v>28</v>
      </c>
      <c r="C13" s="16" t="s">
        <v>47</v>
      </c>
      <c r="D13" s="16">
        <v>90</v>
      </c>
      <c r="E13" s="16">
        <v>40</v>
      </c>
      <c r="F13" s="16" t="s">
        <v>30</v>
      </c>
      <c r="G13" s="11"/>
      <c r="H13" s="15">
        <v>950</v>
      </c>
      <c r="I13" s="15" t="str">
        <f t="shared" si="0"/>
        <v>HIGH PRICE</v>
      </c>
    </row>
    <row r="14" spans="1:15" ht="15.75" customHeight="1" x14ac:dyDescent="0.25">
      <c r="A14" s="15" t="s">
        <v>60</v>
      </c>
      <c r="B14" s="15" t="s">
        <v>32</v>
      </c>
      <c r="C14" s="15" t="s">
        <v>61</v>
      </c>
      <c r="D14" s="15">
        <v>120</v>
      </c>
      <c r="E14" s="15">
        <v>35</v>
      </c>
      <c r="F14" s="15" t="s">
        <v>34</v>
      </c>
      <c r="G14" s="11"/>
      <c r="H14" s="16">
        <v>90</v>
      </c>
      <c r="I14" s="15" t="str">
        <f t="shared" si="0"/>
        <v>STANDARD PRICE</v>
      </c>
    </row>
    <row r="15" spans="1:15" ht="15.75" customHeight="1" x14ac:dyDescent="0.25">
      <c r="A15" s="16" t="s">
        <v>62</v>
      </c>
      <c r="B15" s="16" t="s">
        <v>63</v>
      </c>
      <c r="C15" s="16" t="s">
        <v>64</v>
      </c>
      <c r="D15" s="16">
        <v>150</v>
      </c>
      <c r="E15" s="16">
        <v>15</v>
      </c>
      <c r="F15" s="16" t="s">
        <v>26</v>
      </c>
      <c r="G15" s="11"/>
      <c r="H15" s="15">
        <v>120</v>
      </c>
      <c r="I15" s="15" t="str">
        <f t="shared" si="0"/>
        <v>STANDARD PRICE</v>
      </c>
    </row>
    <row r="16" spans="1:15" ht="15.75" customHeight="1" x14ac:dyDescent="0.25">
      <c r="A16" s="15" t="s">
        <v>65</v>
      </c>
      <c r="B16" s="15" t="s">
        <v>43</v>
      </c>
      <c r="C16" s="15" t="s">
        <v>66</v>
      </c>
      <c r="D16" s="15">
        <v>250</v>
      </c>
      <c r="E16" s="15">
        <v>20</v>
      </c>
      <c r="F16" s="15" t="s">
        <v>26</v>
      </c>
      <c r="G16" s="11"/>
      <c r="H16" s="16">
        <v>150</v>
      </c>
      <c r="I16" s="15" t="str">
        <f t="shared" si="0"/>
        <v>STANDARD PRICE</v>
      </c>
    </row>
    <row r="17" spans="1:9" ht="15.75" customHeight="1" x14ac:dyDescent="0.25">
      <c r="A17" s="16" t="s">
        <v>67</v>
      </c>
      <c r="B17" s="16" t="s">
        <v>68</v>
      </c>
      <c r="C17" s="16" t="s">
        <v>69</v>
      </c>
      <c r="D17" s="16">
        <v>50</v>
      </c>
      <c r="E17" s="16">
        <v>35</v>
      </c>
      <c r="F17" s="16" t="s">
        <v>70</v>
      </c>
      <c r="G17" s="11"/>
      <c r="H17" s="15">
        <v>250</v>
      </c>
      <c r="I17" s="15" t="str">
        <f t="shared" si="0"/>
        <v>STANDARD PRICE</v>
      </c>
    </row>
    <row r="18" spans="1:9" ht="15.75" customHeight="1" x14ac:dyDescent="0.25">
      <c r="A18" s="15" t="s">
        <v>71</v>
      </c>
      <c r="B18" s="15" t="s">
        <v>63</v>
      </c>
      <c r="C18" s="15" t="s">
        <v>72</v>
      </c>
      <c r="D18" s="15">
        <v>160</v>
      </c>
      <c r="E18" s="15">
        <v>15</v>
      </c>
      <c r="F18" s="15" t="s">
        <v>26</v>
      </c>
      <c r="G18" s="11"/>
      <c r="H18" s="16">
        <v>50</v>
      </c>
      <c r="I18" s="15" t="str">
        <f t="shared" si="0"/>
        <v>STANDARD PRICE</v>
      </c>
    </row>
    <row r="19" spans="1:9" ht="15.75" customHeight="1" x14ac:dyDescent="0.25">
      <c r="A19" s="16" t="s">
        <v>73</v>
      </c>
      <c r="B19" s="16" t="s">
        <v>24</v>
      </c>
      <c r="C19" s="16" t="s">
        <v>74</v>
      </c>
      <c r="D19" s="16">
        <v>980</v>
      </c>
      <c r="E19" s="16">
        <v>10</v>
      </c>
      <c r="F19" s="16" t="s">
        <v>26</v>
      </c>
      <c r="G19" s="11"/>
      <c r="H19" s="15">
        <v>160</v>
      </c>
      <c r="I19" s="15" t="str">
        <f t="shared" si="0"/>
        <v>STANDARD PRICE</v>
      </c>
    </row>
    <row r="20" spans="1:9" ht="15.75" customHeight="1" x14ac:dyDescent="0.25">
      <c r="A20" s="15" t="s">
        <v>75</v>
      </c>
      <c r="B20" s="15" t="s">
        <v>76</v>
      </c>
      <c r="C20" s="15" t="s">
        <v>77</v>
      </c>
      <c r="D20" s="15">
        <v>150</v>
      </c>
      <c r="E20" s="15">
        <v>15</v>
      </c>
      <c r="F20" s="15" t="s">
        <v>30</v>
      </c>
      <c r="G20" s="11"/>
      <c r="H20" s="16">
        <v>980</v>
      </c>
      <c r="I20" s="15" t="str">
        <f t="shared" si="0"/>
        <v>HIGH PRICE</v>
      </c>
    </row>
    <row r="21" spans="1:9" ht="15.75" customHeight="1" x14ac:dyDescent="0.25">
      <c r="A21" s="16" t="s">
        <v>78</v>
      </c>
      <c r="B21" s="16" t="s">
        <v>79</v>
      </c>
      <c r="C21" s="16" t="s">
        <v>80</v>
      </c>
      <c r="D21" s="16">
        <v>200</v>
      </c>
      <c r="E21" s="16">
        <v>10</v>
      </c>
      <c r="F21" s="16" t="s">
        <v>41</v>
      </c>
      <c r="G21" s="11"/>
      <c r="H21" s="15">
        <v>150</v>
      </c>
      <c r="I21" s="15" t="str">
        <f t="shared" si="0"/>
        <v>STANDARD PRICE</v>
      </c>
    </row>
    <row r="22" spans="1:9" ht="15.75" customHeight="1" x14ac:dyDescent="0.25">
      <c r="A22" s="15" t="s">
        <v>81</v>
      </c>
      <c r="B22" s="15" t="s">
        <v>82</v>
      </c>
      <c r="C22" s="15" t="s">
        <v>83</v>
      </c>
      <c r="D22" s="15">
        <v>700</v>
      </c>
      <c r="E22" s="15">
        <v>50</v>
      </c>
      <c r="F22" s="15" t="s">
        <v>26</v>
      </c>
      <c r="G22" s="11"/>
      <c r="H22" s="16">
        <v>200</v>
      </c>
      <c r="I22" s="15" t="str">
        <f t="shared" si="0"/>
        <v>STANDARD PRICE</v>
      </c>
    </row>
    <row r="23" spans="1:9" ht="15.75" customHeight="1" x14ac:dyDescent="0.25">
      <c r="A23" s="16" t="s">
        <v>84</v>
      </c>
      <c r="B23" s="16" t="s">
        <v>85</v>
      </c>
      <c r="C23" s="16" t="s">
        <v>86</v>
      </c>
      <c r="D23" s="16">
        <v>80</v>
      </c>
      <c r="E23" s="16">
        <v>20</v>
      </c>
      <c r="F23" s="16" t="s">
        <v>34</v>
      </c>
      <c r="G23" s="11"/>
      <c r="H23" s="15">
        <v>700</v>
      </c>
      <c r="I23" s="15" t="str">
        <f t="shared" si="0"/>
        <v>HIGH PRICE</v>
      </c>
    </row>
    <row r="24" spans="1:9" ht="15.75" customHeight="1" x14ac:dyDescent="0.25">
      <c r="A24" s="15" t="s">
        <v>87</v>
      </c>
      <c r="B24" s="15" t="s">
        <v>88</v>
      </c>
      <c r="C24" s="15" t="s">
        <v>89</v>
      </c>
      <c r="D24" s="15">
        <v>150</v>
      </c>
      <c r="E24" s="15">
        <v>30</v>
      </c>
      <c r="F24" s="15" t="s">
        <v>26</v>
      </c>
      <c r="G24" s="11"/>
      <c r="H24" s="16">
        <v>80</v>
      </c>
      <c r="I24" s="15" t="str">
        <f t="shared" si="0"/>
        <v>STANDARD PRICE</v>
      </c>
    </row>
    <row r="25" spans="1:9" ht="15.75" customHeight="1" x14ac:dyDescent="0.25">
      <c r="A25" s="16" t="s">
        <v>67</v>
      </c>
      <c r="B25" s="16" t="s">
        <v>68</v>
      </c>
      <c r="C25" s="16" t="s">
        <v>69</v>
      </c>
      <c r="D25" s="16">
        <v>50</v>
      </c>
      <c r="E25" s="16">
        <v>35</v>
      </c>
      <c r="F25" s="16" t="s">
        <v>70</v>
      </c>
      <c r="G25" s="12"/>
      <c r="H25" s="15">
        <v>150</v>
      </c>
      <c r="I25" s="15" t="str">
        <f t="shared" si="0"/>
        <v>STANDARD PRICE</v>
      </c>
    </row>
    <row r="26" spans="1:9" ht="15.75" customHeight="1" x14ac:dyDescent="0.25">
      <c r="A26" s="15" t="s">
        <v>90</v>
      </c>
      <c r="B26" s="15" t="s">
        <v>36</v>
      </c>
      <c r="C26" s="15" t="s">
        <v>91</v>
      </c>
      <c r="D26" s="15">
        <v>800</v>
      </c>
      <c r="E26" s="15">
        <v>45</v>
      </c>
      <c r="F26" s="15" t="s">
        <v>26</v>
      </c>
      <c r="G26" s="11"/>
      <c r="H26" s="16">
        <v>50</v>
      </c>
      <c r="I26" s="15" t="str">
        <f t="shared" si="0"/>
        <v>STANDARD PRICE</v>
      </c>
    </row>
    <row r="27" spans="1:9" ht="15.75" customHeight="1" x14ac:dyDescent="0.25">
      <c r="A27" s="16" t="s">
        <v>92</v>
      </c>
      <c r="B27" s="16" t="s">
        <v>76</v>
      </c>
      <c r="C27" s="16" t="s">
        <v>93</v>
      </c>
      <c r="D27" s="16">
        <v>130</v>
      </c>
      <c r="E27" s="16">
        <v>25</v>
      </c>
      <c r="F27" s="16" t="s">
        <v>30</v>
      </c>
      <c r="G27" s="11"/>
      <c r="H27" s="15">
        <v>800</v>
      </c>
      <c r="I27" s="15" t="str">
        <f t="shared" si="0"/>
        <v>HIGH PRICE</v>
      </c>
    </row>
    <row r="28" spans="1:9" ht="15.75" customHeight="1" x14ac:dyDescent="0.25">
      <c r="A28" s="15" t="s">
        <v>94</v>
      </c>
      <c r="B28" s="15" t="s">
        <v>49</v>
      </c>
      <c r="C28" s="15" t="s">
        <v>95</v>
      </c>
      <c r="D28" s="15">
        <v>400</v>
      </c>
      <c r="E28" s="15">
        <v>40</v>
      </c>
      <c r="F28" s="15" t="s">
        <v>34</v>
      </c>
      <c r="G28" s="11"/>
      <c r="H28" s="16">
        <v>130</v>
      </c>
      <c r="I28" s="15" t="str">
        <f t="shared" si="0"/>
        <v>STANDARD PRICE</v>
      </c>
    </row>
    <row r="29" spans="1:9" ht="15.75" customHeight="1" x14ac:dyDescent="0.25">
      <c r="A29" s="16" t="s">
        <v>65</v>
      </c>
      <c r="B29" s="16" t="s">
        <v>43</v>
      </c>
      <c r="C29" s="16" t="s">
        <v>66</v>
      </c>
      <c r="D29" s="16">
        <v>230</v>
      </c>
      <c r="E29" s="16">
        <v>20</v>
      </c>
      <c r="F29" s="16" t="s">
        <v>26</v>
      </c>
      <c r="G29" s="12"/>
      <c r="H29" s="15">
        <v>400</v>
      </c>
      <c r="I29" s="15" t="str">
        <f t="shared" si="0"/>
        <v>STANDARD PRICE</v>
      </c>
    </row>
    <row r="30" spans="1:9" ht="15.75" customHeight="1" x14ac:dyDescent="0.25">
      <c r="A30" s="15" t="s">
        <v>96</v>
      </c>
      <c r="B30" s="15" t="s">
        <v>97</v>
      </c>
      <c r="C30" s="15" t="s">
        <v>98</v>
      </c>
      <c r="D30" s="15">
        <v>60</v>
      </c>
      <c r="E30" s="15">
        <v>30</v>
      </c>
      <c r="F30" s="15" t="s">
        <v>30</v>
      </c>
      <c r="G30" s="11"/>
      <c r="H30" s="16">
        <v>230</v>
      </c>
      <c r="I30" s="15" t="str">
        <f t="shared" si="0"/>
        <v>STANDARD PRICE</v>
      </c>
    </row>
    <row r="31" spans="1:9" ht="15.75" customHeight="1" x14ac:dyDescent="0.25">
      <c r="A31" s="16" t="s">
        <v>99</v>
      </c>
      <c r="B31" s="16" t="s">
        <v>100</v>
      </c>
      <c r="C31" s="16" t="s">
        <v>101</v>
      </c>
      <c r="D31" s="16">
        <v>40</v>
      </c>
      <c r="E31" s="16">
        <v>10</v>
      </c>
      <c r="F31" s="16" t="s">
        <v>34</v>
      </c>
      <c r="G31" s="11"/>
      <c r="H31" s="15">
        <v>60</v>
      </c>
      <c r="I31" s="15" t="str">
        <f t="shared" si="0"/>
        <v>STANDARD PRICE</v>
      </c>
    </row>
    <row r="32" spans="1:9" ht="15.75" customHeight="1" x14ac:dyDescent="0.25">
      <c r="A32" s="15" t="s">
        <v>102</v>
      </c>
      <c r="B32" s="15" t="s">
        <v>88</v>
      </c>
      <c r="C32" s="15" t="s">
        <v>103</v>
      </c>
      <c r="D32" s="15">
        <v>130</v>
      </c>
      <c r="E32" s="15">
        <v>5</v>
      </c>
      <c r="F32" s="15" t="s">
        <v>26</v>
      </c>
      <c r="G32" s="11"/>
      <c r="H32" s="16">
        <v>40</v>
      </c>
      <c r="I32" s="15" t="str">
        <f t="shared" si="0"/>
        <v>STANDARD PRICE</v>
      </c>
    </row>
    <row r="33" spans="1:9" ht="15.75" customHeight="1" x14ac:dyDescent="0.25">
      <c r="A33" s="16" t="s">
        <v>104</v>
      </c>
      <c r="B33" s="16" t="s">
        <v>105</v>
      </c>
      <c r="C33" s="16" t="s">
        <v>106</v>
      </c>
      <c r="D33" s="16">
        <v>50</v>
      </c>
      <c r="E33" s="16">
        <v>50</v>
      </c>
      <c r="F33" s="16" t="s">
        <v>30</v>
      </c>
      <c r="G33" s="11"/>
      <c r="H33" s="15">
        <v>130</v>
      </c>
      <c r="I33" s="15" t="str">
        <f t="shared" si="0"/>
        <v>STANDARD PRICE</v>
      </c>
    </row>
    <row r="34" spans="1:9" ht="15.75" customHeight="1" x14ac:dyDescent="0.25">
      <c r="A34" s="15" t="s">
        <v>57</v>
      </c>
      <c r="B34" s="15" t="s">
        <v>24</v>
      </c>
      <c r="C34" s="15" t="s">
        <v>58</v>
      </c>
      <c r="D34" s="15">
        <v>950</v>
      </c>
      <c r="E34" s="15">
        <v>25</v>
      </c>
      <c r="F34" s="15" t="s">
        <v>26</v>
      </c>
      <c r="G34" s="11"/>
      <c r="H34" s="16">
        <v>50</v>
      </c>
      <c r="I34" s="15" t="str">
        <f t="shared" si="0"/>
        <v>STANDARD PRICE</v>
      </c>
    </row>
    <row r="35" spans="1:9" ht="15.75" customHeight="1" x14ac:dyDescent="0.25">
      <c r="A35" s="16" t="s">
        <v>107</v>
      </c>
      <c r="B35" s="16" t="s">
        <v>108</v>
      </c>
      <c r="C35" s="16" t="s">
        <v>109</v>
      </c>
      <c r="D35" s="16">
        <v>100</v>
      </c>
      <c r="E35" s="16">
        <v>20</v>
      </c>
      <c r="F35" s="16" t="s">
        <v>70</v>
      </c>
      <c r="G35" s="11"/>
      <c r="H35" s="15">
        <v>950</v>
      </c>
      <c r="I35" s="15" t="str">
        <f t="shared" si="0"/>
        <v>HIGH PRICE</v>
      </c>
    </row>
    <row r="36" spans="1:9" ht="15.75" customHeight="1" x14ac:dyDescent="0.25">
      <c r="H36" s="16">
        <v>100</v>
      </c>
      <c r="I36" s="15" t="str">
        <f t="shared" si="0"/>
        <v>STANDARD PRICE</v>
      </c>
    </row>
    <row r="37" spans="1:9" ht="15.75" customHeight="1" x14ac:dyDescent="0.25"/>
    <row r="38" spans="1:9" ht="15.75" customHeight="1" x14ac:dyDescent="0.25"/>
    <row r="39" spans="1:9" ht="15.75" customHeight="1" x14ac:dyDescent="0.25"/>
    <row r="40" spans="1:9" ht="15.75" customHeight="1" x14ac:dyDescent="0.25"/>
    <row r="41" spans="1:9" ht="15.75" customHeight="1" x14ac:dyDescent="0.25"/>
    <row r="42" spans="1:9" ht="15.75" customHeight="1" x14ac:dyDescent="0.25"/>
    <row r="43" spans="1:9" ht="15.75" customHeight="1" x14ac:dyDescent="0.25"/>
    <row r="44" spans="1:9" ht="15.75" customHeight="1" x14ac:dyDescent="0.25"/>
    <row r="45" spans="1:9" ht="15.75" customHeight="1" x14ac:dyDescent="0.25"/>
    <row r="46" spans="1:9" ht="15.75" customHeight="1" x14ac:dyDescent="0.25"/>
    <row r="47" spans="1:9" ht="15.75" customHeight="1" x14ac:dyDescent="0.25"/>
    <row r="48" spans="1:9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">
    <mergeCell ref="H1:I1"/>
    <mergeCell ref="K1:L1"/>
    <mergeCell ref="N1:O1"/>
    <mergeCell ref="K2:L3"/>
    <mergeCell ref="N2:O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1CB35-863D-4409-AF87-D0E1633BE0CE}">
  <sheetPr>
    <outlinePr summaryBelow="0" summaryRight="0"/>
  </sheetPr>
  <dimension ref="A1:O1000"/>
  <sheetViews>
    <sheetView tabSelected="1" topLeftCell="B1" workbookViewId="0">
      <selection activeCell="N38" sqref="N38"/>
    </sheetView>
  </sheetViews>
  <sheetFormatPr defaultColWidth="12.6640625" defaultRowHeight="15" customHeight="1" x14ac:dyDescent="0.25"/>
  <cols>
    <col min="1" max="1" width="12.6640625" style="10" customWidth="1"/>
    <col min="2" max="2" width="16.44140625" style="10" customWidth="1"/>
    <col min="3" max="5" width="12.6640625" style="10" customWidth="1"/>
    <col min="6" max="6" width="14.88671875" style="10" customWidth="1"/>
    <col min="7" max="11" width="12.6640625" style="10"/>
    <col min="12" max="12" width="15.44140625" style="10" bestFit="1" customWidth="1"/>
    <col min="13" max="16384" width="12.6640625" style="10"/>
  </cols>
  <sheetData>
    <row r="1" spans="1:15" ht="21" customHeight="1" x14ac:dyDescent="0.25">
      <c r="A1" s="13" t="s">
        <v>17</v>
      </c>
      <c r="B1" s="13" t="s">
        <v>18</v>
      </c>
      <c r="C1" s="13" t="s">
        <v>19</v>
      </c>
      <c r="D1" s="13" t="s">
        <v>20</v>
      </c>
      <c r="E1" s="13" t="s">
        <v>21</v>
      </c>
      <c r="F1" s="13" t="s">
        <v>22</v>
      </c>
      <c r="G1" s="6"/>
      <c r="H1" s="26" t="s">
        <v>119</v>
      </c>
      <c r="I1" s="26"/>
      <c r="K1" s="26" t="s">
        <v>120</v>
      </c>
      <c r="L1" s="26"/>
      <c r="N1" s="26" t="s">
        <v>121</v>
      </c>
      <c r="O1" s="26"/>
    </row>
    <row r="2" spans="1:15" ht="15.75" customHeight="1" x14ac:dyDescent="0.25">
      <c r="A2" s="15" t="s">
        <v>23</v>
      </c>
      <c r="B2" s="15" t="s">
        <v>24</v>
      </c>
      <c r="C2" s="15" t="s">
        <v>25</v>
      </c>
      <c r="D2" s="15">
        <v>1000</v>
      </c>
      <c r="E2" s="15">
        <v>30</v>
      </c>
      <c r="F2" s="15" t="s">
        <v>26</v>
      </c>
      <c r="G2" s="11"/>
      <c r="H2" s="20" t="s">
        <v>17</v>
      </c>
      <c r="I2" s="21" t="s">
        <v>122</v>
      </c>
      <c r="K2" s="20" t="s">
        <v>17</v>
      </c>
      <c r="L2" s="21" t="s">
        <v>123</v>
      </c>
      <c r="N2" s="20" t="s">
        <v>17</v>
      </c>
      <c r="O2" s="21" t="s">
        <v>124</v>
      </c>
    </row>
    <row r="3" spans="1:15" ht="15.75" customHeight="1" x14ac:dyDescent="0.25">
      <c r="A3" s="16" t="s">
        <v>27</v>
      </c>
      <c r="B3" s="16" t="s">
        <v>28</v>
      </c>
      <c r="C3" s="16" t="s">
        <v>29</v>
      </c>
      <c r="D3" s="16">
        <v>80</v>
      </c>
      <c r="E3" s="16">
        <v>15</v>
      </c>
      <c r="F3" s="16" t="s">
        <v>30</v>
      </c>
      <c r="G3" s="11"/>
      <c r="H3" s="15" t="s">
        <v>23</v>
      </c>
      <c r="I3" s="14" t="str">
        <f>LEFT(H3,2)</f>
        <v>28</v>
      </c>
      <c r="K3" s="15" t="s">
        <v>23</v>
      </c>
      <c r="L3" s="14" t="str">
        <f>RIGHT(K3,2)</f>
        <v>US</v>
      </c>
      <c r="N3" s="15" t="s">
        <v>23</v>
      </c>
      <c r="O3" s="14" t="str">
        <f>MID(N3,4,3)</f>
        <v>JAN</v>
      </c>
    </row>
    <row r="4" spans="1:15" ht="15.75" customHeight="1" x14ac:dyDescent="0.25">
      <c r="A4" s="15" t="s">
        <v>31</v>
      </c>
      <c r="B4" s="15" t="s">
        <v>32</v>
      </c>
      <c r="C4" s="15" t="s">
        <v>33</v>
      </c>
      <c r="D4" s="15">
        <v>130</v>
      </c>
      <c r="E4" s="15">
        <v>40</v>
      </c>
      <c r="F4" s="15" t="s">
        <v>34</v>
      </c>
      <c r="G4" s="11"/>
      <c r="H4" s="16" t="s">
        <v>27</v>
      </c>
      <c r="I4" s="14" t="str">
        <f t="shared" ref="I4:I36" si="0">LEFT(H4,2)</f>
        <v>15</v>
      </c>
      <c r="K4" s="16" t="s">
        <v>27</v>
      </c>
      <c r="L4" s="14" t="str">
        <f t="shared" ref="L4:L36" si="1">RIGHT(K4,2)</f>
        <v>US</v>
      </c>
      <c r="N4" s="16" t="s">
        <v>27</v>
      </c>
      <c r="O4" s="14" t="str">
        <f t="shared" ref="O4:O36" si="2">MID(N4,4,3)</f>
        <v>FEB</v>
      </c>
    </row>
    <row r="5" spans="1:15" ht="15.75" customHeight="1" x14ac:dyDescent="0.25">
      <c r="A5" s="16" t="s">
        <v>35</v>
      </c>
      <c r="B5" s="16" t="s">
        <v>36</v>
      </c>
      <c r="C5" s="16" t="s">
        <v>37</v>
      </c>
      <c r="D5" s="16">
        <v>900</v>
      </c>
      <c r="E5" s="16">
        <v>25</v>
      </c>
      <c r="F5" s="16" t="s">
        <v>26</v>
      </c>
      <c r="G5" s="11"/>
      <c r="H5" s="15" t="s">
        <v>31</v>
      </c>
      <c r="I5" s="14" t="str">
        <f t="shared" si="0"/>
        <v>03</v>
      </c>
      <c r="K5" s="15" t="s">
        <v>31</v>
      </c>
      <c r="L5" s="14" t="str">
        <f t="shared" si="1"/>
        <v>US</v>
      </c>
      <c r="N5" s="15" t="s">
        <v>31</v>
      </c>
      <c r="O5" s="14" t="str">
        <f t="shared" si="2"/>
        <v>MAR</v>
      </c>
    </row>
    <row r="6" spans="1:15" ht="15.75" customHeight="1" x14ac:dyDescent="0.25">
      <c r="A6" s="15" t="s">
        <v>38</v>
      </c>
      <c r="B6" s="15" t="s">
        <v>39</v>
      </c>
      <c r="C6" s="15" t="s">
        <v>40</v>
      </c>
      <c r="D6" s="15">
        <v>70</v>
      </c>
      <c r="E6" s="15">
        <v>20</v>
      </c>
      <c r="F6" s="15" t="s">
        <v>41</v>
      </c>
      <c r="G6" s="11"/>
      <c r="H6" s="16" t="s">
        <v>35</v>
      </c>
      <c r="I6" s="14" t="str">
        <f t="shared" si="0"/>
        <v>11</v>
      </c>
      <c r="K6" s="16" t="s">
        <v>35</v>
      </c>
      <c r="L6" s="14" t="str">
        <f t="shared" si="1"/>
        <v>US</v>
      </c>
      <c r="N6" s="16" t="s">
        <v>35</v>
      </c>
      <c r="O6" s="14" t="str">
        <f t="shared" si="2"/>
        <v>APR</v>
      </c>
    </row>
    <row r="7" spans="1:15" ht="15.75" customHeight="1" x14ac:dyDescent="0.25">
      <c r="A7" s="16" t="s">
        <v>42</v>
      </c>
      <c r="B7" s="16" t="s">
        <v>43</v>
      </c>
      <c r="C7" s="16" t="s">
        <v>44</v>
      </c>
      <c r="D7" s="16">
        <v>200</v>
      </c>
      <c r="E7" s="16">
        <v>45</v>
      </c>
      <c r="F7" s="16" t="s">
        <v>26</v>
      </c>
      <c r="G7" s="11"/>
      <c r="H7" s="15" t="s">
        <v>38</v>
      </c>
      <c r="I7" s="14" t="str">
        <f t="shared" si="0"/>
        <v>22</v>
      </c>
      <c r="K7" s="15" t="s">
        <v>38</v>
      </c>
      <c r="L7" s="14" t="str">
        <f t="shared" si="1"/>
        <v>US</v>
      </c>
      <c r="N7" s="15" t="s">
        <v>38</v>
      </c>
      <c r="O7" s="14" t="str">
        <f t="shared" si="2"/>
        <v>MAY</v>
      </c>
    </row>
    <row r="8" spans="1:15" ht="15.75" customHeight="1" x14ac:dyDescent="0.25">
      <c r="A8" s="15" t="s">
        <v>45</v>
      </c>
      <c r="B8" s="15" t="s">
        <v>46</v>
      </c>
      <c r="C8" s="15" t="s">
        <v>47</v>
      </c>
      <c r="D8" s="15">
        <v>30</v>
      </c>
      <c r="E8" s="15">
        <v>5</v>
      </c>
      <c r="F8" s="15" t="s">
        <v>30</v>
      </c>
      <c r="G8" s="11"/>
      <c r="H8" s="16" t="s">
        <v>42</v>
      </c>
      <c r="I8" s="14" t="str">
        <f t="shared" si="0"/>
        <v>07</v>
      </c>
      <c r="K8" s="16" t="s">
        <v>42</v>
      </c>
      <c r="L8" s="14" t="str">
        <f t="shared" si="1"/>
        <v>UK</v>
      </c>
      <c r="N8" s="16" t="s">
        <v>42</v>
      </c>
      <c r="O8" s="14" t="str">
        <f t="shared" si="2"/>
        <v>JUN</v>
      </c>
    </row>
    <row r="9" spans="1:15" ht="15.75" customHeight="1" x14ac:dyDescent="0.25">
      <c r="A9" s="16" t="s">
        <v>48</v>
      </c>
      <c r="B9" s="16" t="s">
        <v>49</v>
      </c>
      <c r="C9" s="16" t="s">
        <v>50</v>
      </c>
      <c r="D9" s="16">
        <v>90</v>
      </c>
      <c r="E9" s="16">
        <v>35</v>
      </c>
      <c r="F9" s="16" t="s">
        <v>34</v>
      </c>
      <c r="G9" s="11"/>
      <c r="H9" s="15" t="s">
        <v>45</v>
      </c>
      <c r="I9" s="14" t="str">
        <f t="shared" si="0"/>
        <v>19</v>
      </c>
      <c r="K9" s="15" t="s">
        <v>45</v>
      </c>
      <c r="L9" s="14" t="str">
        <f t="shared" si="1"/>
        <v>UK</v>
      </c>
      <c r="N9" s="15" t="s">
        <v>45</v>
      </c>
      <c r="O9" s="14" t="str">
        <f t="shared" si="2"/>
        <v>JUL</v>
      </c>
    </row>
    <row r="10" spans="1:15" ht="15.75" customHeight="1" x14ac:dyDescent="0.25">
      <c r="A10" s="15" t="s">
        <v>51</v>
      </c>
      <c r="B10" s="15" t="s">
        <v>52</v>
      </c>
      <c r="C10" s="15" t="s">
        <v>53</v>
      </c>
      <c r="D10" s="15">
        <v>500</v>
      </c>
      <c r="E10" s="15">
        <v>50</v>
      </c>
      <c r="F10" s="15" t="s">
        <v>26</v>
      </c>
      <c r="G10" s="11"/>
      <c r="H10" s="16" t="s">
        <v>48</v>
      </c>
      <c r="I10" s="14" t="str">
        <f t="shared" si="0"/>
        <v>23</v>
      </c>
      <c r="K10" s="16" t="s">
        <v>48</v>
      </c>
      <c r="L10" s="14" t="str">
        <f t="shared" si="1"/>
        <v>UK</v>
      </c>
      <c r="N10" s="16" t="s">
        <v>48</v>
      </c>
      <c r="O10" s="14" t="str">
        <f t="shared" si="2"/>
        <v>AUG</v>
      </c>
    </row>
    <row r="11" spans="1:15" ht="15.75" customHeight="1" x14ac:dyDescent="0.25">
      <c r="A11" s="16" t="s">
        <v>54</v>
      </c>
      <c r="B11" s="16" t="s">
        <v>55</v>
      </c>
      <c r="C11" s="16" t="s">
        <v>56</v>
      </c>
      <c r="D11" s="16">
        <v>130</v>
      </c>
      <c r="E11" s="16">
        <v>10</v>
      </c>
      <c r="F11" s="16" t="s">
        <v>41</v>
      </c>
      <c r="G11" s="11"/>
      <c r="H11" s="15" t="s">
        <v>51</v>
      </c>
      <c r="I11" s="14" t="str">
        <f t="shared" si="0"/>
        <v>05</v>
      </c>
      <c r="K11" s="15" t="s">
        <v>51</v>
      </c>
      <c r="L11" s="14" t="str">
        <f t="shared" si="1"/>
        <v>UK</v>
      </c>
      <c r="N11" s="15" t="s">
        <v>51</v>
      </c>
      <c r="O11" s="14" t="str">
        <f t="shared" si="2"/>
        <v>SEP</v>
      </c>
    </row>
    <row r="12" spans="1:15" ht="15.75" customHeight="1" x14ac:dyDescent="0.25">
      <c r="A12" s="15" t="s">
        <v>57</v>
      </c>
      <c r="B12" s="15" t="s">
        <v>24</v>
      </c>
      <c r="C12" s="15" t="s">
        <v>58</v>
      </c>
      <c r="D12" s="15">
        <v>950</v>
      </c>
      <c r="E12" s="15">
        <v>25</v>
      </c>
      <c r="F12" s="15" t="s">
        <v>26</v>
      </c>
      <c r="G12" s="11"/>
      <c r="H12" s="16" t="s">
        <v>54</v>
      </c>
      <c r="I12" s="14" t="str">
        <f t="shared" si="0"/>
        <v>14</v>
      </c>
      <c r="K12" s="16" t="s">
        <v>54</v>
      </c>
      <c r="L12" s="14" t="str">
        <f t="shared" si="1"/>
        <v>UK</v>
      </c>
      <c r="N12" s="16" t="s">
        <v>54</v>
      </c>
      <c r="O12" s="14" t="str">
        <f t="shared" si="2"/>
        <v>OCT</v>
      </c>
    </row>
    <row r="13" spans="1:15" ht="15.75" customHeight="1" x14ac:dyDescent="0.25">
      <c r="A13" s="16" t="s">
        <v>59</v>
      </c>
      <c r="B13" s="16" t="s">
        <v>28</v>
      </c>
      <c r="C13" s="16" t="s">
        <v>47</v>
      </c>
      <c r="D13" s="16">
        <v>90</v>
      </c>
      <c r="E13" s="16">
        <v>40</v>
      </c>
      <c r="F13" s="16" t="s">
        <v>30</v>
      </c>
      <c r="G13" s="11"/>
      <c r="H13" s="15" t="s">
        <v>57</v>
      </c>
      <c r="I13" s="14" t="str">
        <f t="shared" si="0"/>
        <v>17</v>
      </c>
      <c r="K13" s="15" t="s">
        <v>57</v>
      </c>
      <c r="L13" s="14" t="str">
        <f t="shared" si="1"/>
        <v>IN</v>
      </c>
      <c r="N13" s="15" t="s">
        <v>57</v>
      </c>
      <c r="O13" s="14" t="str">
        <f t="shared" si="2"/>
        <v>JUN</v>
      </c>
    </row>
    <row r="14" spans="1:15" ht="15.75" customHeight="1" x14ac:dyDescent="0.25">
      <c r="A14" s="15" t="s">
        <v>60</v>
      </c>
      <c r="B14" s="15" t="s">
        <v>32</v>
      </c>
      <c r="C14" s="15" t="s">
        <v>61</v>
      </c>
      <c r="D14" s="15">
        <v>120</v>
      </c>
      <c r="E14" s="15">
        <v>35</v>
      </c>
      <c r="F14" s="15" t="s">
        <v>34</v>
      </c>
      <c r="G14" s="11"/>
      <c r="H14" s="16" t="s">
        <v>59</v>
      </c>
      <c r="I14" s="14" t="str">
        <f t="shared" si="0"/>
        <v>25</v>
      </c>
      <c r="K14" s="16" t="s">
        <v>59</v>
      </c>
      <c r="L14" s="14" t="str">
        <f t="shared" si="1"/>
        <v>AU</v>
      </c>
      <c r="N14" s="16" t="s">
        <v>59</v>
      </c>
      <c r="O14" s="14" t="str">
        <f t="shared" si="2"/>
        <v>NOV</v>
      </c>
    </row>
    <row r="15" spans="1:15" ht="15.75" customHeight="1" x14ac:dyDescent="0.25">
      <c r="A15" s="16" t="s">
        <v>62</v>
      </c>
      <c r="B15" s="16" t="s">
        <v>63</v>
      </c>
      <c r="C15" s="16" t="s">
        <v>64</v>
      </c>
      <c r="D15" s="16">
        <v>150</v>
      </c>
      <c r="E15" s="16">
        <v>15</v>
      </c>
      <c r="F15" s="16" t="s">
        <v>26</v>
      </c>
      <c r="G15" s="11"/>
      <c r="H15" s="15" t="s">
        <v>60</v>
      </c>
      <c r="I15" s="14" t="str">
        <f t="shared" si="0"/>
        <v>08</v>
      </c>
      <c r="K15" s="15" t="s">
        <v>60</v>
      </c>
      <c r="L15" s="14" t="str">
        <f t="shared" si="1"/>
        <v>DE</v>
      </c>
      <c r="N15" s="15" t="s">
        <v>60</v>
      </c>
      <c r="O15" s="14" t="str">
        <f t="shared" si="2"/>
        <v>DEC</v>
      </c>
    </row>
    <row r="16" spans="1:15" ht="15.75" customHeight="1" x14ac:dyDescent="0.25">
      <c r="A16" s="15" t="s">
        <v>65</v>
      </c>
      <c r="B16" s="15" t="s">
        <v>43</v>
      </c>
      <c r="C16" s="15" t="s">
        <v>66</v>
      </c>
      <c r="D16" s="15">
        <v>250</v>
      </c>
      <c r="E16" s="15">
        <v>20</v>
      </c>
      <c r="F16" s="15" t="s">
        <v>26</v>
      </c>
      <c r="G16" s="11"/>
      <c r="H16" s="16" t="s">
        <v>62</v>
      </c>
      <c r="I16" s="14" t="str">
        <f t="shared" si="0"/>
        <v>18</v>
      </c>
      <c r="K16" s="16" t="s">
        <v>62</v>
      </c>
      <c r="L16" s="14" t="str">
        <f t="shared" si="1"/>
        <v>CA</v>
      </c>
      <c r="N16" s="16" t="s">
        <v>62</v>
      </c>
      <c r="O16" s="14" t="str">
        <f t="shared" si="2"/>
        <v>FEB</v>
      </c>
    </row>
    <row r="17" spans="1:15" ht="15.75" customHeight="1" x14ac:dyDescent="0.25">
      <c r="A17" s="16" t="s">
        <v>67</v>
      </c>
      <c r="B17" s="16" t="s">
        <v>68</v>
      </c>
      <c r="C17" s="16" t="s">
        <v>69</v>
      </c>
      <c r="D17" s="16">
        <v>50</v>
      </c>
      <c r="E17" s="16">
        <v>35</v>
      </c>
      <c r="F17" s="16" t="s">
        <v>70</v>
      </c>
      <c r="G17" s="11"/>
      <c r="H17" s="15" t="s">
        <v>65</v>
      </c>
      <c r="I17" s="14" t="str">
        <f t="shared" si="0"/>
        <v>16</v>
      </c>
      <c r="K17" s="15" t="s">
        <v>65</v>
      </c>
      <c r="L17" s="14" t="str">
        <f t="shared" si="1"/>
        <v>ES</v>
      </c>
      <c r="N17" s="15" t="s">
        <v>65</v>
      </c>
      <c r="O17" s="14" t="str">
        <f t="shared" si="2"/>
        <v>APR</v>
      </c>
    </row>
    <row r="18" spans="1:15" ht="15.75" customHeight="1" x14ac:dyDescent="0.25">
      <c r="A18" s="15" t="s">
        <v>71</v>
      </c>
      <c r="B18" s="15" t="s">
        <v>63</v>
      </c>
      <c r="C18" s="15" t="s">
        <v>72</v>
      </c>
      <c r="D18" s="15">
        <v>160</v>
      </c>
      <c r="E18" s="15">
        <v>15</v>
      </c>
      <c r="F18" s="15" t="s">
        <v>26</v>
      </c>
      <c r="G18" s="11"/>
      <c r="H18" s="16" t="s">
        <v>67</v>
      </c>
      <c r="I18" s="14" t="str">
        <f t="shared" si="0"/>
        <v>21</v>
      </c>
      <c r="K18" s="16" t="s">
        <v>67</v>
      </c>
      <c r="L18" s="14" t="str">
        <f t="shared" si="1"/>
        <v>CA</v>
      </c>
      <c r="N18" s="16" t="s">
        <v>67</v>
      </c>
      <c r="O18" s="14" t="str">
        <f t="shared" si="2"/>
        <v>AUG</v>
      </c>
    </row>
    <row r="19" spans="1:15" ht="15.75" customHeight="1" x14ac:dyDescent="0.25">
      <c r="A19" s="16" t="s">
        <v>73</v>
      </c>
      <c r="B19" s="16" t="s">
        <v>24</v>
      </c>
      <c r="C19" s="16" t="s">
        <v>74</v>
      </c>
      <c r="D19" s="16">
        <v>980</v>
      </c>
      <c r="E19" s="16">
        <v>10</v>
      </c>
      <c r="F19" s="16" t="s">
        <v>26</v>
      </c>
      <c r="G19" s="11"/>
      <c r="H19" s="15" t="s">
        <v>71</v>
      </c>
      <c r="I19" s="14" t="str">
        <f t="shared" si="0"/>
        <v>20</v>
      </c>
      <c r="K19" s="15" t="s">
        <v>71</v>
      </c>
      <c r="L19" s="14" t="str">
        <f t="shared" si="1"/>
        <v>CN</v>
      </c>
      <c r="N19" s="15" t="s">
        <v>71</v>
      </c>
      <c r="O19" s="14" t="str">
        <f t="shared" si="2"/>
        <v>AUG</v>
      </c>
    </row>
    <row r="20" spans="1:15" ht="15.75" customHeight="1" x14ac:dyDescent="0.25">
      <c r="A20" s="15" t="s">
        <v>75</v>
      </c>
      <c r="B20" s="15" t="s">
        <v>76</v>
      </c>
      <c r="C20" s="15" t="s">
        <v>77</v>
      </c>
      <c r="D20" s="15">
        <v>150</v>
      </c>
      <c r="E20" s="15">
        <v>15</v>
      </c>
      <c r="F20" s="15" t="s">
        <v>30</v>
      </c>
      <c r="G20" s="11"/>
      <c r="H20" s="16" t="s">
        <v>73</v>
      </c>
      <c r="I20" s="14" t="str">
        <f t="shared" si="0"/>
        <v>27</v>
      </c>
      <c r="K20" s="16" t="s">
        <v>73</v>
      </c>
      <c r="L20" s="14" t="str">
        <f t="shared" si="1"/>
        <v>IT</v>
      </c>
      <c r="N20" s="16" t="s">
        <v>73</v>
      </c>
      <c r="O20" s="14" t="str">
        <f t="shared" si="2"/>
        <v>JAN</v>
      </c>
    </row>
    <row r="21" spans="1:15" ht="15.75" customHeight="1" x14ac:dyDescent="0.25">
      <c r="A21" s="16" t="s">
        <v>78</v>
      </c>
      <c r="B21" s="16" t="s">
        <v>79</v>
      </c>
      <c r="C21" s="16" t="s">
        <v>80</v>
      </c>
      <c r="D21" s="16">
        <v>200</v>
      </c>
      <c r="E21" s="16">
        <v>10</v>
      </c>
      <c r="F21" s="16" t="s">
        <v>41</v>
      </c>
      <c r="G21" s="11"/>
      <c r="H21" s="15" t="s">
        <v>75</v>
      </c>
      <c r="I21" s="14" t="str">
        <f t="shared" si="0"/>
        <v>01</v>
      </c>
      <c r="K21" s="15" t="s">
        <v>75</v>
      </c>
      <c r="L21" s="14" t="str">
        <f t="shared" si="1"/>
        <v>UK</v>
      </c>
      <c r="N21" s="15" t="s">
        <v>75</v>
      </c>
      <c r="O21" s="14" t="str">
        <f t="shared" si="2"/>
        <v>MAR</v>
      </c>
    </row>
    <row r="22" spans="1:15" ht="15.75" customHeight="1" x14ac:dyDescent="0.25">
      <c r="A22" s="15" t="s">
        <v>81</v>
      </c>
      <c r="B22" s="15" t="s">
        <v>82</v>
      </c>
      <c r="C22" s="15" t="s">
        <v>83</v>
      </c>
      <c r="D22" s="15">
        <v>700</v>
      </c>
      <c r="E22" s="15">
        <v>50</v>
      </c>
      <c r="F22" s="15" t="s">
        <v>26</v>
      </c>
      <c r="G22" s="11"/>
      <c r="H22" s="16" t="s">
        <v>78</v>
      </c>
      <c r="I22" s="14" t="str">
        <f t="shared" si="0"/>
        <v>14</v>
      </c>
      <c r="K22" s="16" t="s">
        <v>78</v>
      </c>
      <c r="L22" s="14" t="str">
        <f t="shared" si="1"/>
        <v>US</v>
      </c>
      <c r="N22" s="16" t="s">
        <v>78</v>
      </c>
      <c r="O22" s="14" t="str">
        <f t="shared" si="2"/>
        <v>AUG</v>
      </c>
    </row>
    <row r="23" spans="1:15" ht="15.75" customHeight="1" x14ac:dyDescent="0.25">
      <c r="A23" s="16" t="s">
        <v>84</v>
      </c>
      <c r="B23" s="16" t="s">
        <v>85</v>
      </c>
      <c r="C23" s="16" t="s">
        <v>86</v>
      </c>
      <c r="D23" s="16">
        <v>80</v>
      </c>
      <c r="E23" s="16">
        <v>20</v>
      </c>
      <c r="F23" s="16" t="s">
        <v>34</v>
      </c>
      <c r="G23" s="11"/>
      <c r="H23" s="15" t="s">
        <v>81</v>
      </c>
      <c r="I23" s="14" t="str">
        <f t="shared" si="0"/>
        <v>14</v>
      </c>
      <c r="K23" s="15" t="s">
        <v>81</v>
      </c>
      <c r="L23" s="14" t="str">
        <f t="shared" si="1"/>
        <v>RU</v>
      </c>
      <c r="N23" s="15" t="s">
        <v>81</v>
      </c>
      <c r="O23" s="14" t="str">
        <f t="shared" si="2"/>
        <v>MAY</v>
      </c>
    </row>
    <row r="24" spans="1:15" ht="15.75" customHeight="1" x14ac:dyDescent="0.25">
      <c r="A24" s="15" t="s">
        <v>87</v>
      </c>
      <c r="B24" s="15" t="s">
        <v>88</v>
      </c>
      <c r="C24" s="15" t="s">
        <v>89</v>
      </c>
      <c r="D24" s="15">
        <v>150</v>
      </c>
      <c r="E24" s="15">
        <v>30</v>
      </c>
      <c r="F24" s="15" t="s">
        <v>26</v>
      </c>
      <c r="G24" s="11"/>
      <c r="H24" s="16" t="s">
        <v>84</v>
      </c>
      <c r="I24" s="14" t="str">
        <f t="shared" si="0"/>
        <v>09</v>
      </c>
      <c r="K24" s="16" t="s">
        <v>84</v>
      </c>
      <c r="L24" s="14" t="str">
        <f t="shared" si="1"/>
        <v>CA</v>
      </c>
      <c r="N24" s="16" t="s">
        <v>84</v>
      </c>
      <c r="O24" s="14" t="str">
        <f t="shared" si="2"/>
        <v>JAN</v>
      </c>
    </row>
    <row r="25" spans="1:15" ht="15.75" customHeight="1" x14ac:dyDescent="0.25">
      <c r="A25" s="16" t="s">
        <v>67</v>
      </c>
      <c r="B25" s="16" t="s">
        <v>68</v>
      </c>
      <c r="C25" s="16" t="s">
        <v>69</v>
      </c>
      <c r="D25" s="16">
        <v>50</v>
      </c>
      <c r="E25" s="16">
        <v>35</v>
      </c>
      <c r="F25" s="16" t="s">
        <v>70</v>
      </c>
      <c r="G25" s="12"/>
      <c r="H25" s="15" t="s">
        <v>87</v>
      </c>
      <c r="I25" s="14" t="str">
        <f t="shared" si="0"/>
        <v>19</v>
      </c>
      <c r="K25" s="15" t="s">
        <v>87</v>
      </c>
      <c r="L25" s="14" t="str">
        <f t="shared" si="1"/>
        <v>BR</v>
      </c>
      <c r="N25" s="15" t="s">
        <v>87</v>
      </c>
      <c r="O25" s="14" t="str">
        <f t="shared" si="2"/>
        <v>JUL</v>
      </c>
    </row>
    <row r="26" spans="1:15" ht="15.75" customHeight="1" x14ac:dyDescent="0.25">
      <c r="A26" s="15" t="s">
        <v>90</v>
      </c>
      <c r="B26" s="15" t="s">
        <v>36</v>
      </c>
      <c r="C26" s="15" t="s">
        <v>91</v>
      </c>
      <c r="D26" s="15">
        <v>800</v>
      </c>
      <c r="E26" s="15">
        <v>45</v>
      </c>
      <c r="F26" s="15" t="s">
        <v>26</v>
      </c>
      <c r="G26" s="11"/>
      <c r="H26" s="16" t="s">
        <v>67</v>
      </c>
      <c r="I26" s="14" t="str">
        <f t="shared" si="0"/>
        <v>21</v>
      </c>
      <c r="K26" s="16" t="s">
        <v>67</v>
      </c>
      <c r="L26" s="14" t="str">
        <f t="shared" si="1"/>
        <v>CA</v>
      </c>
      <c r="N26" s="16" t="s">
        <v>67</v>
      </c>
      <c r="O26" s="14" t="str">
        <f t="shared" si="2"/>
        <v>AUG</v>
      </c>
    </row>
    <row r="27" spans="1:15" ht="15.75" customHeight="1" x14ac:dyDescent="0.25">
      <c r="A27" s="16" t="s">
        <v>92</v>
      </c>
      <c r="B27" s="16" t="s">
        <v>76</v>
      </c>
      <c r="C27" s="16" t="s">
        <v>93</v>
      </c>
      <c r="D27" s="16">
        <v>130</v>
      </c>
      <c r="E27" s="16">
        <v>25</v>
      </c>
      <c r="F27" s="16" t="s">
        <v>30</v>
      </c>
      <c r="G27" s="11"/>
      <c r="H27" s="15" t="s">
        <v>90</v>
      </c>
      <c r="I27" s="14" t="str">
        <f t="shared" si="0"/>
        <v>29</v>
      </c>
      <c r="K27" s="15" t="s">
        <v>90</v>
      </c>
      <c r="L27" s="14" t="str">
        <f t="shared" si="1"/>
        <v>CA</v>
      </c>
      <c r="N27" s="15" t="s">
        <v>90</v>
      </c>
      <c r="O27" s="14" t="str">
        <f t="shared" si="2"/>
        <v>SEP</v>
      </c>
    </row>
    <row r="28" spans="1:15" ht="15.75" customHeight="1" x14ac:dyDescent="0.25">
      <c r="A28" s="15" t="s">
        <v>94</v>
      </c>
      <c r="B28" s="15" t="s">
        <v>49</v>
      </c>
      <c r="C28" s="15" t="s">
        <v>95</v>
      </c>
      <c r="D28" s="15">
        <v>400</v>
      </c>
      <c r="E28" s="15">
        <v>40</v>
      </c>
      <c r="F28" s="15" t="s">
        <v>34</v>
      </c>
      <c r="G28" s="11"/>
      <c r="H28" s="16" t="s">
        <v>92</v>
      </c>
      <c r="I28" s="14" t="str">
        <f t="shared" si="0"/>
        <v>03</v>
      </c>
      <c r="K28" s="16" t="s">
        <v>92</v>
      </c>
      <c r="L28" s="14" t="str">
        <f t="shared" si="1"/>
        <v>CA</v>
      </c>
      <c r="N28" s="16" t="s">
        <v>92</v>
      </c>
      <c r="O28" s="14" t="str">
        <f t="shared" si="2"/>
        <v>JUN</v>
      </c>
    </row>
    <row r="29" spans="1:15" ht="15.75" customHeight="1" x14ac:dyDescent="0.25">
      <c r="A29" s="16" t="s">
        <v>65</v>
      </c>
      <c r="B29" s="16" t="s">
        <v>43</v>
      </c>
      <c r="C29" s="16" t="s">
        <v>66</v>
      </c>
      <c r="D29" s="16">
        <v>230</v>
      </c>
      <c r="E29" s="16">
        <v>20</v>
      </c>
      <c r="F29" s="16" t="s">
        <v>26</v>
      </c>
      <c r="G29" s="12"/>
      <c r="H29" s="15" t="s">
        <v>94</v>
      </c>
      <c r="I29" s="14" t="str">
        <f t="shared" si="0"/>
        <v>11</v>
      </c>
      <c r="K29" s="15" t="s">
        <v>94</v>
      </c>
      <c r="L29" s="14" t="str">
        <f t="shared" si="1"/>
        <v>CA</v>
      </c>
      <c r="N29" s="15" t="s">
        <v>94</v>
      </c>
      <c r="O29" s="14" t="str">
        <f t="shared" si="2"/>
        <v>JUL</v>
      </c>
    </row>
    <row r="30" spans="1:15" ht="15.75" customHeight="1" x14ac:dyDescent="0.25">
      <c r="A30" s="15" t="s">
        <v>96</v>
      </c>
      <c r="B30" s="15" t="s">
        <v>97</v>
      </c>
      <c r="C30" s="15" t="s">
        <v>98</v>
      </c>
      <c r="D30" s="15">
        <v>60</v>
      </c>
      <c r="E30" s="15">
        <v>30</v>
      </c>
      <c r="F30" s="15" t="s">
        <v>30</v>
      </c>
      <c r="G30" s="11"/>
      <c r="H30" s="16" t="s">
        <v>65</v>
      </c>
      <c r="I30" s="14" t="str">
        <f t="shared" si="0"/>
        <v>16</v>
      </c>
      <c r="K30" s="16" t="s">
        <v>65</v>
      </c>
      <c r="L30" s="14" t="str">
        <f t="shared" si="1"/>
        <v>ES</v>
      </c>
      <c r="N30" s="16" t="s">
        <v>65</v>
      </c>
      <c r="O30" s="14" t="str">
        <f t="shared" si="2"/>
        <v>APR</v>
      </c>
    </row>
    <row r="31" spans="1:15" ht="15.75" customHeight="1" x14ac:dyDescent="0.25">
      <c r="A31" s="16" t="s">
        <v>99</v>
      </c>
      <c r="B31" s="16" t="s">
        <v>100</v>
      </c>
      <c r="C31" s="16" t="s">
        <v>101</v>
      </c>
      <c r="D31" s="16">
        <v>40</v>
      </c>
      <c r="E31" s="16">
        <v>10</v>
      </c>
      <c r="F31" s="16" t="s">
        <v>34</v>
      </c>
      <c r="G31" s="11"/>
      <c r="H31" s="15" t="s">
        <v>96</v>
      </c>
      <c r="I31" s="14" t="str">
        <f t="shared" si="0"/>
        <v>07</v>
      </c>
      <c r="K31" s="15" t="s">
        <v>96</v>
      </c>
      <c r="L31" s="14" t="str">
        <f t="shared" si="1"/>
        <v>CA</v>
      </c>
      <c r="N31" s="15" t="s">
        <v>96</v>
      </c>
      <c r="O31" s="14" t="str">
        <f t="shared" si="2"/>
        <v>MAR</v>
      </c>
    </row>
    <row r="32" spans="1:15" ht="15.75" customHeight="1" x14ac:dyDescent="0.25">
      <c r="A32" s="15" t="s">
        <v>102</v>
      </c>
      <c r="B32" s="15" t="s">
        <v>88</v>
      </c>
      <c r="C32" s="15" t="s">
        <v>103</v>
      </c>
      <c r="D32" s="15">
        <v>130</v>
      </c>
      <c r="E32" s="15">
        <v>5</v>
      </c>
      <c r="F32" s="15" t="s">
        <v>26</v>
      </c>
      <c r="G32" s="11"/>
      <c r="H32" s="16" t="s">
        <v>99</v>
      </c>
      <c r="I32" s="14" t="str">
        <f t="shared" si="0"/>
        <v>13</v>
      </c>
      <c r="K32" s="16" t="s">
        <v>99</v>
      </c>
      <c r="L32" s="14" t="str">
        <f t="shared" si="1"/>
        <v>CA</v>
      </c>
      <c r="N32" s="16" t="s">
        <v>99</v>
      </c>
      <c r="O32" s="14" t="str">
        <f t="shared" si="2"/>
        <v>APR</v>
      </c>
    </row>
    <row r="33" spans="1:15" ht="15.75" customHeight="1" x14ac:dyDescent="0.25">
      <c r="A33" s="16" t="s">
        <v>104</v>
      </c>
      <c r="B33" s="16" t="s">
        <v>105</v>
      </c>
      <c r="C33" s="16" t="s">
        <v>106</v>
      </c>
      <c r="D33" s="16">
        <v>50</v>
      </c>
      <c r="E33" s="16">
        <v>50</v>
      </c>
      <c r="F33" s="16" t="s">
        <v>30</v>
      </c>
      <c r="G33" s="11"/>
      <c r="H33" s="15" t="s">
        <v>102</v>
      </c>
      <c r="I33" s="14" t="str">
        <f t="shared" si="0"/>
        <v>24</v>
      </c>
      <c r="K33" s="15" t="s">
        <v>102</v>
      </c>
      <c r="L33" s="14" t="str">
        <f t="shared" si="1"/>
        <v>CA</v>
      </c>
      <c r="N33" s="15" t="s">
        <v>102</v>
      </c>
      <c r="O33" s="14" t="str">
        <f t="shared" si="2"/>
        <v>MAY</v>
      </c>
    </row>
    <row r="34" spans="1:15" ht="15.75" customHeight="1" x14ac:dyDescent="0.25">
      <c r="A34" s="15" t="s">
        <v>57</v>
      </c>
      <c r="B34" s="15" t="s">
        <v>24</v>
      </c>
      <c r="C34" s="15" t="s">
        <v>58</v>
      </c>
      <c r="D34" s="15">
        <v>950</v>
      </c>
      <c r="E34" s="15">
        <v>25</v>
      </c>
      <c r="F34" s="15" t="s">
        <v>26</v>
      </c>
      <c r="G34" s="11"/>
      <c r="H34" s="16" t="s">
        <v>104</v>
      </c>
      <c r="I34" s="14" t="str">
        <f t="shared" si="0"/>
        <v>02</v>
      </c>
      <c r="K34" s="16" t="s">
        <v>104</v>
      </c>
      <c r="L34" s="14" t="str">
        <f t="shared" si="1"/>
        <v>CA</v>
      </c>
      <c r="N34" s="16" t="s">
        <v>104</v>
      </c>
      <c r="O34" s="14" t="str">
        <f t="shared" si="2"/>
        <v>DEC</v>
      </c>
    </row>
    <row r="35" spans="1:15" ht="15.75" customHeight="1" x14ac:dyDescent="0.25">
      <c r="A35" s="16" t="s">
        <v>107</v>
      </c>
      <c r="B35" s="16" t="s">
        <v>108</v>
      </c>
      <c r="C35" s="16" t="s">
        <v>109</v>
      </c>
      <c r="D35" s="16">
        <v>100</v>
      </c>
      <c r="E35" s="16">
        <v>20</v>
      </c>
      <c r="F35" s="16" t="s">
        <v>70</v>
      </c>
      <c r="G35" s="11"/>
      <c r="H35" s="15" t="s">
        <v>57</v>
      </c>
      <c r="I35" s="14" t="str">
        <f t="shared" si="0"/>
        <v>17</v>
      </c>
      <c r="K35" s="15" t="s">
        <v>57</v>
      </c>
      <c r="L35" s="14" t="str">
        <f t="shared" si="1"/>
        <v>IN</v>
      </c>
      <c r="N35" s="15" t="s">
        <v>57</v>
      </c>
      <c r="O35" s="14" t="str">
        <f t="shared" si="2"/>
        <v>JUN</v>
      </c>
    </row>
    <row r="36" spans="1:15" ht="15.75" customHeight="1" x14ac:dyDescent="0.25">
      <c r="H36" s="16" t="s">
        <v>107</v>
      </c>
      <c r="I36" s="14" t="str">
        <f t="shared" si="0"/>
        <v>09</v>
      </c>
      <c r="K36" s="16" t="s">
        <v>107</v>
      </c>
      <c r="L36" s="14" t="str">
        <f t="shared" si="1"/>
        <v>FR</v>
      </c>
      <c r="N36" s="16" t="s">
        <v>107</v>
      </c>
      <c r="O36" s="14" t="str">
        <f t="shared" si="2"/>
        <v>JUL</v>
      </c>
    </row>
    <row r="37" spans="1:15" ht="15.75" customHeight="1" x14ac:dyDescent="0.25"/>
    <row r="38" spans="1:15" ht="15.75" customHeight="1" x14ac:dyDescent="0.25"/>
    <row r="39" spans="1:15" ht="15.75" customHeight="1" x14ac:dyDescent="0.25"/>
    <row r="40" spans="1:15" ht="15.75" customHeight="1" x14ac:dyDescent="0.25"/>
    <row r="41" spans="1:15" ht="15.75" customHeight="1" x14ac:dyDescent="0.25"/>
    <row r="42" spans="1:15" ht="15.75" customHeight="1" x14ac:dyDescent="0.25"/>
    <row r="43" spans="1:15" ht="15.75" customHeight="1" x14ac:dyDescent="0.25"/>
    <row r="44" spans="1:15" ht="15.75" customHeight="1" x14ac:dyDescent="0.25"/>
    <row r="45" spans="1:15" ht="15.75" customHeight="1" x14ac:dyDescent="0.25"/>
    <row r="46" spans="1:15" ht="15.75" customHeight="1" x14ac:dyDescent="0.25"/>
    <row r="47" spans="1:15" ht="15.75" customHeight="1" x14ac:dyDescent="0.25"/>
    <row r="48" spans="1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H1:I1"/>
    <mergeCell ref="K1:L1"/>
    <mergeCell ref="N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Dataset</vt:lpstr>
      <vt:lpstr>ASSIGNMENT-SET 1</vt:lpstr>
      <vt:lpstr>ASSIGNMENT-SET 2</vt:lpstr>
      <vt:lpstr>ASSIGNMENT-SET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Lebin Das</cp:lastModifiedBy>
  <dcterms:modified xsi:type="dcterms:W3CDTF">2026-09-13T16:18:27Z</dcterms:modified>
</cp:coreProperties>
</file>